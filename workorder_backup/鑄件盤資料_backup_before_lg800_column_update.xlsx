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8800" windowHeight="13590" tabRatio="601" firstSheet="0" activeTab="1" autoFilterDateGrouping="1"/>
  </bookViews>
  <sheets>
    <sheet name="總數" sheetId="1" state="visible" r:id="rId1"/>
    <sheet name="底座" sheetId="2" state="visible" r:id="rId2"/>
    <sheet name="工作台" sheetId="3" state="visible" r:id="rId3"/>
    <sheet name="橫樑" sheetId="4" state="visible" r:id="rId4"/>
    <sheet name="立柱" sheetId="5" state="visible" r:id="rId5"/>
    <sheet name="機頭" sheetId="6" state="visible" r:id="rId6"/>
    <sheet name="橫樑滑座" sheetId="7" state="visible" r:id="rId7"/>
    <sheet name="定樑" sheetId="8" state="visible" r:id="rId8"/>
    <sheet name="報廢鑄件" sheetId="9" state="visible" r:id="rId9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_);[Red]\(0\)"/>
    <numFmt numFmtId="165" formatCode="0_ "/>
  </numFmts>
  <fonts count="12">
    <font>
      <name val="新細明體"/>
      <charset val="136"/>
      <family val="1"/>
      <sz val="12"/>
    </font>
    <font>
      <name val="新細明體"/>
      <charset val="136"/>
      <family val="1"/>
      <sz val="12"/>
    </font>
    <font>
      <name val="新細明體"/>
      <charset val="136"/>
      <family val="1"/>
      <sz val="9"/>
    </font>
    <font>
      <name val="新細明體"/>
      <charset val="136"/>
      <family val="1"/>
      <color indexed="10"/>
      <sz val="12"/>
    </font>
    <font>
      <name val="新細明體"/>
      <charset val="136"/>
      <family val="1"/>
      <b val="1"/>
      <sz val="12"/>
    </font>
    <font>
      <name val="新細明體"/>
      <charset val="136"/>
      <family val="1"/>
      <color indexed="10"/>
      <sz val="12"/>
    </font>
    <font>
      <name val="新細明體"/>
      <charset val="136"/>
      <family val="1"/>
      <color rgb="FFFF0000"/>
      <sz val="12"/>
    </font>
    <font>
      <name val="新細明體"/>
      <charset val="136"/>
      <family val="1"/>
      <b val="1"/>
      <sz val="12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細明體"/>
      <charset val="136"/>
      <family val="3"/>
      <color indexed="81"/>
      <sz val="9"/>
    </font>
    <font>
      <b val="1"/>
    </font>
  </fonts>
  <fills count="7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1" fillId="0" borderId="0" applyAlignment="1">
      <alignment vertical="center"/>
    </xf>
  </cellStyleXfs>
  <cellXfs count="76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0" pivotButton="0" quotePrefix="0" xfId="0"/>
    <xf numFmtId="164" fontId="0" fillId="2" borderId="0" applyAlignment="1" pivotButton="0" quotePrefix="0" xfId="0">
      <alignment vertical="center"/>
    </xf>
    <xf numFmtId="164" fontId="0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2" borderId="4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4" fontId="0" fillId="2" borderId="1" applyAlignment="1" pivotButton="0" quotePrefix="0" xfId="0">
      <alignment vertical="center"/>
    </xf>
    <xf numFmtId="164" fontId="5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top"/>
    </xf>
    <xf numFmtId="0" fontId="0" fillId="0" borderId="17" applyAlignment="1" pivotButton="0" quotePrefix="0" xfId="0">
      <alignment horizontal="left" vertical="center"/>
    </xf>
    <xf numFmtId="0" fontId="0" fillId="2" borderId="17" applyAlignment="1" pivotButton="0" quotePrefix="0" xfId="0">
      <alignment horizontal="left" vertical="center"/>
    </xf>
    <xf numFmtId="0" fontId="0" fillId="0" borderId="17" applyAlignment="1" pivotButton="0" quotePrefix="0" xfId="0">
      <alignment horizontal="left" vertical="center"/>
    </xf>
    <xf numFmtId="0" fontId="0" fillId="0" borderId="17" applyAlignment="1" pivotButton="0" quotePrefix="0" xfId="0">
      <alignment horizontal="left" vertical="center"/>
    </xf>
    <xf numFmtId="0" fontId="0" fillId="0" borderId="17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1" fillId="0" borderId="17" applyAlignment="1" pivotButton="0" quotePrefix="0" xfId="0">
      <alignment horizontal="right" vertical="center"/>
    </xf>
    <xf numFmtId="0" fontId="4" fillId="6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6" borderId="17" applyAlignment="1" pivotButton="0" quotePrefix="0" xfId="0">
      <alignment horizontal="left" vertical="center"/>
    </xf>
    <xf numFmtId="0" fontId="0" fillId="6" borderId="17" applyAlignment="1" pivotButton="0" quotePrefix="0" xfId="0">
      <alignment horizontal="right" vertical="center"/>
    </xf>
    <xf numFmtId="0" fontId="4" fillId="6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0" fillId="6" borderId="17" applyAlignment="1" pivotButton="0" quotePrefix="0" xfId="0">
      <alignment horizontal="right" vertical="center"/>
    </xf>
    <xf numFmtId="164" fontId="0" fillId="6" borderId="17" applyAlignment="1" pivotButton="0" quotePrefix="0" xfId="0">
      <alignment horizontal="right" vertical="center"/>
    </xf>
    <xf numFmtId="0" fontId="0" fillId="6" borderId="0" applyAlignment="1" pivotButton="0" quotePrefix="0" xfId="0">
      <alignment horizontal="right" vertical="center"/>
    </xf>
    <xf numFmtId="0" fontId="0" fillId="6" borderId="17" applyAlignment="1" pivotButton="0" quotePrefix="0" xfId="0">
      <alignment horizontal="left" vertical="center"/>
    </xf>
    <xf numFmtId="0" fontId="0" fillId="0" borderId="17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6" borderId="17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0" borderId="3" applyAlignment="1" pivotButton="0" quotePrefix="0" xfId="0">
      <alignment horizontal="right" vertical="center"/>
    </xf>
    <xf numFmtId="164" fontId="0" fillId="2" borderId="0" applyAlignment="1" pivotButton="0" quotePrefix="0" xfId="0">
      <alignment vertical="center"/>
    </xf>
    <xf numFmtId="164" fontId="0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2" borderId="4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4" fontId="0" fillId="2" borderId="1" applyAlignment="1" pivotButton="0" quotePrefix="0" xfId="0">
      <alignment vertical="center"/>
    </xf>
    <xf numFmtId="164" fontId="5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164" fontId="0" fillId="6" borderId="17" applyAlignment="1" pivotButton="0" quotePrefix="0" xfId="0">
      <alignment horizontal="right" vertical="center"/>
    </xf>
    <xf numFmtId="0" fontId="11" fillId="0" borderId="18" applyAlignment="1" pivotButton="0" quotePrefix="0" xfId="0">
      <alignment horizontal="center" vertical="top"/>
    </xf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hsin</author>
    <author>ralf</author>
    <author>mwlee</author>
  </authors>
  <commentList>
    <comment ref="C9" authorId="0" shapeId="0">
      <text>
        <t xml:space="preserve">hsin:
3/11 27827
3/11 27874
3/11 27828
3/11 27875
3/11 27829
3/20 27876
</t>
      </text>
    </comment>
    <comment ref="B11" authorId="0" shapeId="0">
      <text>
        <t xml:space="preserve">hsin:
3/11 27827
3/20 27828
4/13 27874
4/15 27829
5/26 27876
5/26 27699
</t>
      </text>
    </comment>
    <comment ref="C15" authorId="0" shapeId="0">
      <text>
        <t xml:space="preserve">
3/16 27899
3/16 28003
3/16 27831
4/13 27807
3/20 27807
</t>
      </text>
    </comment>
    <comment ref="B17" authorId="0" shapeId="0">
      <text>
        <t xml:space="preserve">
3/19 27899
4/13 27807
4/13 27833
5/26 27834
5/26 27809
</t>
      </text>
    </comment>
    <comment ref="E22" authorId="1" shapeId="0">
      <text>
        <t xml:space="preserve">ralf:
單位:隻
</t>
      </text>
    </comment>
    <comment ref="E23" authorId="1" shapeId="0">
      <text>
        <t xml:space="preserve">ralf:
單位:隻
</t>
      </text>
    </comment>
    <comment ref="E25" authorId="1" shapeId="0">
      <text>
        <t xml:space="preserve">ralf:
單位:隻
</t>
      </text>
    </comment>
    <comment ref="B30" authorId="0" shapeId="0">
      <text>
        <t xml:space="preserve">hsin:
3/11 27839
3/11 27840
</t>
      </text>
    </comment>
    <comment ref="C30" authorId="0" shapeId="0">
      <text>
        <t xml:space="preserve">hsin:
3/11 27839
3/11 27840
</t>
      </text>
    </comment>
    <comment ref="B32" authorId="0" shapeId="0">
      <text>
        <t xml:space="preserve">hsin:
3/11 27877
hsin:
3/16 27836
3/16 27837
hsin:
3/20 27767
</t>
      </text>
    </comment>
    <comment ref="C32" authorId="0" shapeId="0">
      <text>
        <t xml:space="preserve">hsin:
3/20 27877
3/20 27836
3/20 27767
3/20 27837
3/20 27878
3/20 27768
</t>
      </text>
    </comment>
    <comment ref="C35" authorId="0" shapeId="0">
      <text>
        <t xml:space="preserve">hsin:
3/17 28042
</t>
      </text>
    </comment>
    <comment ref="C37" authorId="0" shapeId="0">
      <text>
        <t xml:space="preserve">hsin:
3/11 28025
3/11 27835
3/11 27914
3/25 27906
5/15 27770
5/15 27811
5/15 28113
</t>
      </text>
    </comment>
    <comment ref="C39" authorId="1" shapeId="0">
      <text>
        <t>ralf:
共用423工作台</t>
      </text>
    </comment>
    <comment ref="D39" authorId="1" shapeId="0">
      <text>
        <t>ralf:
共用HSA327橫樑</t>
      </text>
    </comment>
    <comment ref="D40" authorId="1" shapeId="0">
      <text>
        <t>ralf:
共用HSA-327橫樑</t>
      </text>
    </comment>
    <comment ref="D63" authorId="0" shapeId="0">
      <text>
        <t xml:space="preserve">hsin:
3/11 27839
3/11 27840
</t>
      </text>
    </comment>
    <comment ref="D64" authorId="0" shapeId="0">
      <text>
        <t xml:space="preserve">hsin:
3/11 27877
3/11 27836
3/11 27837
3/11 27878
</t>
      </text>
    </comment>
    <comment ref="D65" authorId="0" shapeId="0">
      <text>
        <t xml:space="preserve">hsin:
3/11 27842
3/11 27767
3/11 27906
3/11 27768
3/11 27811
</t>
      </text>
    </comment>
    <comment ref="D66" authorId="0" shapeId="0">
      <text>
        <t xml:space="preserve">hsin:
3/11 27835
3/11 27770
5/15 28118
4/6 28062
</t>
      </text>
    </comment>
    <comment ref="D70" authorId="0" shapeId="0">
      <text>
        <t xml:space="preserve">hsin:
3/11 27969
4/6 26808
4/16 28076
</t>
      </text>
    </comment>
    <comment ref="D71" authorId="0" shapeId="0">
      <text>
        <t xml:space="preserve">hsin:
4/27 27969
</t>
      </text>
    </comment>
    <comment ref="D72" authorId="0" shapeId="0">
      <text>
        <t xml:space="preserve">hsin:
3/11 27930
</t>
      </text>
    </comment>
    <comment ref="B87" authorId="1" shapeId="0">
      <text>
        <t>ralf:
加長1米</t>
      </text>
    </comment>
    <comment ref="B94" authorId="0" shapeId="0">
      <text>
        <t xml:space="preserve">hsin:
3/11 28007
</t>
      </text>
    </comment>
    <comment ref="C94" authorId="0" shapeId="0">
      <text>
        <t xml:space="preserve">hsin:
3/11 28007
</t>
      </text>
    </comment>
    <comment ref="C104" authorId="2" shapeId="0">
      <text>
        <t>mwlee:
1台內加工不良- 永棧鑄件</t>
      </text>
    </comment>
  </commentList>
</comments>
</file>

<file path=xl/comments/comment2.xml><?xml version="1.0" encoding="utf-8"?>
<comments xmlns="http://schemas.openxmlformats.org/spreadsheetml/2006/main">
  <authors>
    <author>guang</author>
    <author>ralf</author>
  </authors>
  <commentList>
    <comment ref="E2" authorId="0" shapeId="0">
      <text>
        <t xml:space="preserve">guang:
1/31 賣出3個(宏台)
</t>
      </text>
    </comment>
    <comment ref="F2" authorId="1" shapeId="0">
      <text>
        <t>ralf:
12/19 阿光點</t>
      </text>
    </comment>
    <comment ref="C3" authorId="0" shapeId="0">
      <text>
        <t>guang:
2/16 入10台(YJF)</t>
      </text>
    </comment>
    <comment ref="D3" authorId="0" shapeId="0">
      <text>
        <t xml:space="preserve">guang:
含報廢1台guang:
12/22 出1台
</t>
      </text>
    </comment>
    <comment ref="E3" authorId="0" shapeId="0">
      <text>
        <t xml:space="preserve">guang:
1/12出4台
2/8 出4台
9/11 臥搪*1 OK
9/12 臥搪*1 OK
9/14 臥搪*1 OK
9/18 臥搪*1 OK
9/30 臥搪*1 OK
12/06 臥搪*1 OK
guang:
2/2 出9台(6路)
</t>
      </text>
    </comment>
    <comment ref="F3" authorId="1" shapeId="0">
      <text>
        <t>ralf:
12/19阿光點</t>
      </text>
    </comment>
  </commentList>
</comments>
</file>

<file path=xl/comments/comment3.xml><?xml version="1.0" encoding="utf-8"?>
<comments xmlns="http://schemas.openxmlformats.org/spreadsheetml/2006/main">
  <authors>
    <author>ralf</author>
  </authors>
  <commentList>
    <comment ref="E2" authorId="0" shapeId="0">
      <text>
        <t>ralf:
411旁---12/19請政炎載回
3/16 賣出(永錩)</t>
      </text>
    </comment>
  </commentList>
</comments>
</file>

<file path=xl/comments/comment4.xml><?xml version="1.0" encoding="utf-8"?>
<comments xmlns="http://schemas.openxmlformats.org/spreadsheetml/2006/main">
  <authors>
    <author>guang</author>
  </authors>
  <commentList>
    <comment ref="E2" authorId="0" shapeId="0">
      <text>
        <t>guang:
第5區</t>
      </text>
    </comment>
  </commentList>
</comments>
</file>

<file path=xl/comments/comment5.xml><?xml version="1.0" encoding="utf-8"?>
<comments xmlns="http://schemas.openxmlformats.org/spreadsheetml/2006/main">
  <authors>
    <author>guang</author>
  </authors>
  <commentList>
    <comment ref="B2" authorId="0" shapeId="0">
      <text>
        <t xml:space="preserve">guang:
7/7 賣出楊鋼*1
</t>
      </text>
    </comment>
  </commentList>
</comment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 codeName="Sheet6">
    <tabColor indexed="45"/>
    <outlinePr summaryBelow="1" summaryRight="1"/>
    <pageSetUpPr/>
  </sheetPr>
  <dimension ref="A1:AG460"/>
  <sheetViews>
    <sheetView showRuler="0" zoomScale="130" zoomScaleNormal="130" workbookViewId="0">
      <pane ySplit="1" topLeftCell="A2" activePane="bottomLeft" state="frozen"/>
      <selection pane="bottomLeft" activeCell="A112" sqref="A112"/>
    </sheetView>
  </sheetViews>
  <sheetFormatPr baseColWidth="8" defaultRowHeight="16.5"/>
  <cols>
    <col width="23.125" customWidth="1" style="27" min="1" max="1"/>
    <col width="11.75" customWidth="1" style="64" min="2" max="7"/>
    <col width="3.75" customWidth="1" style="27" min="8" max="31"/>
    <col width="18.25" customWidth="1" style="27" min="33" max="33"/>
  </cols>
  <sheetData>
    <row r="1">
      <c r="A1" s="26" t="inlineStr">
        <is>
          <t>機型</t>
        </is>
      </c>
      <c r="B1" s="65" t="inlineStr">
        <is>
          <t>底座</t>
        </is>
      </c>
      <c r="C1" s="65" t="inlineStr">
        <is>
          <t>工作台</t>
        </is>
      </c>
      <c r="D1" s="65" t="inlineStr">
        <is>
          <t>橫樑</t>
        </is>
      </c>
      <c r="E1" s="65" t="inlineStr">
        <is>
          <t>立柱</t>
        </is>
      </c>
      <c r="F1" s="65" t="inlineStr">
        <is>
          <t>機頭</t>
        </is>
      </c>
      <c r="G1" s="65" t="inlineStr">
        <is>
          <t>定樑</t>
        </is>
      </c>
      <c r="H1" s="47" t="n"/>
      <c r="I1" s="47" t="n"/>
      <c r="J1" s="47" t="n"/>
      <c r="K1" s="47" t="n"/>
      <c r="L1" s="47" t="n"/>
      <c r="M1" s="47" t="n"/>
      <c r="N1" s="47" t="n"/>
      <c r="O1" s="47" t="n"/>
      <c r="P1" s="47" t="n"/>
      <c r="Q1" s="47" t="n"/>
      <c r="R1" s="47" t="n"/>
      <c r="S1" s="47" t="n"/>
      <c r="T1" s="47" t="n"/>
      <c r="U1" s="47" t="n"/>
      <c r="V1" s="47" t="n"/>
      <c r="W1" s="47" t="n"/>
      <c r="X1" s="47" t="n"/>
      <c r="Y1" s="47" t="n"/>
      <c r="Z1" s="47" t="n"/>
      <c r="AA1" s="47" t="n"/>
      <c r="AB1" s="47" t="n"/>
      <c r="AC1" s="47" t="n"/>
      <c r="AD1" s="47" t="n"/>
      <c r="AE1" s="47" t="n"/>
      <c r="AF1" s="47" t="n"/>
      <c r="AG1" s="47" t="n"/>
    </row>
    <row r="2" ht="15.95" customHeight="1" s="27">
      <c r="A2" s="23" t="inlineStr">
        <is>
          <t>AHC-X31</t>
        </is>
      </c>
      <c r="B2" s="66" t="n"/>
      <c r="C2" s="66" t="n"/>
      <c r="D2" s="66">
        <f>橫樑!I2</f>
        <v/>
      </c>
      <c r="E2" s="66" t="n"/>
      <c r="F2" s="66" t="n"/>
      <c r="G2" s="65" t="n"/>
      <c r="H2" s="47" t="n"/>
      <c r="I2" s="47" t="n"/>
      <c r="J2" s="47" t="n"/>
      <c r="K2" s="47" t="n"/>
      <c r="L2" s="47" t="n"/>
      <c r="M2" s="47" t="n"/>
      <c r="N2" s="47" t="n"/>
      <c r="O2" s="47" t="n"/>
      <c r="P2" s="47" t="n"/>
      <c r="Q2" s="47" t="n"/>
      <c r="R2" s="47" t="n"/>
      <c r="S2" s="47" t="n"/>
      <c r="T2" s="47" t="n"/>
      <c r="U2" s="47" t="n"/>
      <c r="V2" s="47" t="n"/>
      <c r="W2" s="47" t="n"/>
      <c r="X2" s="47" t="n"/>
      <c r="Y2" s="47" t="n"/>
      <c r="Z2" s="47" t="n"/>
      <c r="AA2" s="47" t="n"/>
      <c r="AB2" s="47" t="n"/>
      <c r="AC2" s="47" t="n"/>
      <c r="AD2" s="47" t="n"/>
      <c r="AE2" s="1" t="n"/>
      <c r="AF2" s="1" t="n"/>
      <c r="AG2" s="47" t="n"/>
    </row>
    <row r="3" ht="15.95" customHeight="1" s="27">
      <c r="A3" s="23" t="inlineStr">
        <is>
          <t>AHC-X36</t>
        </is>
      </c>
      <c r="B3" s="66" t="n"/>
      <c r="C3" s="66" t="n"/>
      <c r="D3" s="66">
        <f>橫樑!I3</f>
        <v/>
      </c>
      <c r="E3" s="66" t="n"/>
      <c r="F3" s="66" t="n"/>
      <c r="G3" s="67" t="n"/>
      <c r="H3" s="2" t="n"/>
      <c r="I3" s="47" t="n"/>
      <c r="J3" s="47" t="n"/>
      <c r="K3" s="47" t="n"/>
      <c r="L3" s="47" t="n"/>
      <c r="M3" s="47" t="n"/>
      <c r="N3" s="47" t="n"/>
      <c r="O3" s="47" t="n"/>
      <c r="P3" s="47" t="n"/>
      <c r="Q3" s="47" t="n"/>
      <c r="R3" s="47" t="n"/>
      <c r="S3" s="47" t="n"/>
      <c r="T3" s="47" t="n"/>
      <c r="U3" s="47" t="n"/>
      <c r="V3" s="47" t="n"/>
      <c r="W3" s="47" t="n"/>
      <c r="X3" s="47" t="n"/>
      <c r="Y3" s="47" t="n"/>
      <c r="Z3" s="47" t="n"/>
      <c r="AA3" s="47" t="n"/>
      <c r="AB3" s="47" t="n"/>
      <c r="AC3" s="47" t="n"/>
      <c r="AD3" s="47" t="n"/>
      <c r="AE3" s="47" t="n"/>
      <c r="AF3" s="1" t="n"/>
      <c r="AG3" s="47" t="n"/>
    </row>
    <row r="4" ht="15.95" customHeight="1" s="27">
      <c r="A4" s="23" t="inlineStr">
        <is>
          <t>AHC-X46</t>
        </is>
      </c>
      <c r="B4" s="66" t="n"/>
      <c r="C4" s="66" t="n"/>
      <c r="D4" s="66">
        <f>橫樑!I4</f>
        <v/>
      </c>
      <c r="E4" s="66" t="n"/>
      <c r="F4" s="66" t="n"/>
      <c r="G4" s="65" t="n"/>
      <c r="H4" s="47" t="n"/>
      <c r="I4" s="47" t="n"/>
      <c r="J4" s="47" t="n"/>
      <c r="K4" s="47" t="n"/>
      <c r="L4" s="47" t="n"/>
      <c r="M4" s="47" t="n"/>
      <c r="N4" s="47" t="n"/>
      <c r="O4" s="47" t="n"/>
      <c r="P4" s="47" t="n"/>
      <c r="Q4" s="47" t="n"/>
      <c r="R4" s="47" t="n"/>
      <c r="S4" s="47" t="n"/>
      <c r="T4" s="47" t="n"/>
      <c r="U4" s="47" t="n"/>
      <c r="V4" s="47" t="n"/>
      <c r="W4" s="47" t="n"/>
      <c r="X4" s="47" t="n"/>
      <c r="Y4" s="47" t="n"/>
      <c r="Z4" s="47" t="n"/>
      <c r="AA4" s="47" t="n"/>
      <c r="AB4" s="47" t="n"/>
      <c r="AC4" s="47" t="n"/>
      <c r="AD4" s="47" t="n"/>
      <c r="AE4" s="47" t="n"/>
      <c r="AF4" s="1" t="n"/>
      <c r="AG4" s="47" t="n"/>
    </row>
    <row r="5" ht="15.95" customFormat="1" customHeight="1" s="68">
      <c r="A5" s="23" t="inlineStr">
        <is>
          <t>AMZ4265</t>
        </is>
      </c>
      <c r="B5" s="66" t="n"/>
      <c r="C5" s="66">
        <f>工作台!#REF!</f>
        <v/>
      </c>
      <c r="D5" s="66" t="n"/>
      <c r="E5" s="66" t="n"/>
      <c r="F5" s="66" t="n"/>
      <c r="G5" s="65" t="n"/>
    </row>
    <row r="6" ht="15" customHeight="1" s="27">
      <c r="A6" s="23" t="inlineStr">
        <is>
          <t>AMZ5350</t>
        </is>
      </c>
      <c r="B6" s="66" t="n"/>
      <c r="C6" s="66" t="n"/>
      <c r="D6" s="66">
        <f>橫樑!#REF!</f>
        <v/>
      </c>
      <c r="E6" s="66" t="n"/>
      <c r="F6" s="66" t="n"/>
      <c r="G6" s="65" t="n"/>
      <c r="H6" s="47" t="n"/>
      <c r="I6" s="47" t="n"/>
      <c r="J6" s="47" t="n"/>
      <c r="K6" s="47" t="n"/>
      <c r="L6" s="47" t="n"/>
      <c r="M6" s="47" t="n"/>
      <c r="N6" s="47" t="n"/>
      <c r="O6" s="47" t="n"/>
      <c r="P6" s="47" t="n"/>
      <c r="Q6" s="47" t="n"/>
      <c r="R6" s="47" t="n"/>
      <c r="S6" s="47" t="n"/>
      <c r="T6" s="47" t="n"/>
      <c r="U6" s="47" t="n"/>
      <c r="V6" s="47" t="n"/>
      <c r="W6" s="47" t="n"/>
      <c r="X6" s="47" t="n"/>
      <c r="Y6" s="47" t="n"/>
      <c r="Z6" s="47" t="n"/>
      <c r="AA6" s="47" t="n"/>
      <c r="AB6" s="47" t="n"/>
      <c r="AC6" s="47" t="n"/>
      <c r="AD6" s="47" t="n"/>
      <c r="AE6" s="47" t="n"/>
      <c r="AF6" s="1" t="n"/>
      <c r="AG6" s="47" t="n"/>
    </row>
    <row r="7" ht="15.95" customHeight="1" s="27">
      <c r="A7" s="23" t="inlineStr">
        <is>
          <t>HB-3190</t>
        </is>
      </c>
      <c r="B7" s="66" t="n"/>
      <c r="C7" s="66">
        <f>工作台!#REF!</f>
        <v/>
      </c>
      <c r="D7" s="66" t="n"/>
      <c r="E7" s="66" t="n"/>
      <c r="F7" s="66" t="n"/>
      <c r="G7" s="65" t="n"/>
      <c r="H7" s="47" t="n"/>
      <c r="I7" s="47" t="n"/>
      <c r="J7" s="47" t="n"/>
      <c r="K7" s="47" t="n"/>
      <c r="L7" s="47" t="n"/>
      <c r="M7" s="47" t="n"/>
      <c r="N7" s="47" t="n"/>
      <c r="O7" s="47" t="n"/>
      <c r="P7" s="47" t="n"/>
      <c r="Q7" s="47" t="n"/>
      <c r="R7" s="47" t="n"/>
      <c r="S7" s="47" t="n"/>
      <c r="T7" s="47" t="n"/>
      <c r="U7" s="47" t="n"/>
      <c r="V7" s="47" t="n"/>
      <c r="W7" s="47" t="n"/>
      <c r="X7" s="47" t="n"/>
      <c r="Y7" s="47" t="n"/>
      <c r="Z7" s="47" t="n"/>
      <c r="AA7" s="47" t="n"/>
      <c r="AB7" s="47" t="n"/>
      <c r="AC7" s="47" t="n"/>
      <c r="AD7" s="47" t="n"/>
      <c r="AE7" s="47" t="n"/>
      <c r="AF7" s="1" t="n"/>
      <c r="AG7" s="47" t="n"/>
    </row>
    <row r="8" ht="15.95" customHeight="1" s="27">
      <c r="A8" s="23" t="inlineStr">
        <is>
          <t>HCMC-1270</t>
        </is>
      </c>
      <c r="B8" s="69" t="n"/>
      <c r="C8" s="66" t="n"/>
      <c r="D8" s="69" t="n"/>
      <c r="E8" s="69" t="n"/>
      <c r="F8" s="66">
        <f>機頭!F3</f>
        <v/>
      </c>
      <c r="G8" s="70" t="n"/>
      <c r="H8" s="47" t="n"/>
      <c r="I8" s="47" t="n"/>
      <c r="J8" s="47" t="n"/>
      <c r="K8" s="47" t="n"/>
      <c r="L8" s="47" t="n"/>
      <c r="M8" s="47" t="n"/>
      <c r="N8" s="47" t="n"/>
      <c r="O8" s="47" t="n"/>
      <c r="P8" s="47" t="n"/>
      <c r="Q8" s="47" t="n"/>
      <c r="R8" s="47" t="n"/>
      <c r="S8" s="47" t="n"/>
      <c r="T8" s="47" t="n"/>
      <c r="U8" s="47" t="n"/>
      <c r="V8" s="47" t="n"/>
      <c r="W8" s="47" t="n"/>
      <c r="X8" s="47" t="n"/>
      <c r="Y8" s="47" t="n"/>
      <c r="Z8" s="47" t="n"/>
      <c r="AA8" s="47" t="n"/>
      <c r="AB8" s="47" t="n"/>
      <c r="AC8" s="47" t="n"/>
      <c r="AD8" s="47" t="n"/>
      <c r="AE8" s="47" t="n"/>
      <c r="AF8" s="1" t="n"/>
      <c r="AG8" s="47" t="n"/>
    </row>
    <row r="9" ht="15.95" customHeight="1" s="27">
      <c r="A9" s="23" t="inlineStr">
        <is>
          <t>HEP2150</t>
        </is>
      </c>
      <c r="B9" s="66">
        <f>底座!F5</f>
        <v/>
      </c>
      <c r="C9" s="66">
        <f>工作台!J3</f>
        <v/>
      </c>
      <c r="D9" s="66">
        <f>橫樑!I7</f>
        <v/>
      </c>
      <c r="E9" s="66" t="n"/>
      <c r="F9" s="66" t="n"/>
      <c r="G9" s="65" t="n"/>
      <c r="H9" s="47" t="n"/>
      <c r="I9" s="47" t="n"/>
      <c r="J9" s="47" t="n"/>
      <c r="K9" s="47" t="n"/>
      <c r="L9" s="47" t="n"/>
      <c r="M9" s="47" t="n"/>
      <c r="N9" s="47" t="n"/>
      <c r="O9" s="47" t="n"/>
      <c r="P9" s="47" t="n"/>
      <c r="Q9" s="47" t="n"/>
      <c r="R9" s="47" t="n"/>
      <c r="S9" s="47" t="n"/>
      <c r="T9" s="47" t="n"/>
      <c r="U9" s="47" t="n"/>
      <c r="V9" s="47" t="n"/>
      <c r="W9" s="47" t="n"/>
      <c r="X9" s="47" t="n"/>
      <c r="Y9" s="47" t="n"/>
      <c r="Z9" s="47" t="n"/>
      <c r="AA9" s="47" t="n"/>
      <c r="AB9" s="47" t="n"/>
      <c r="AC9" s="47" t="n"/>
      <c r="AD9" s="47" t="n"/>
      <c r="AE9" s="47" t="n"/>
      <c r="AF9" s="1" t="n"/>
      <c r="AG9" s="47" t="n"/>
    </row>
    <row r="10" ht="15.95" customHeight="1" s="27">
      <c r="A10" s="23" t="inlineStr">
        <is>
          <t>HSA-216</t>
        </is>
      </c>
      <c r="B10" s="66" t="n"/>
      <c r="C10" s="66">
        <f>工作台!J4</f>
        <v/>
      </c>
      <c r="D10" s="66" t="n"/>
      <c r="E10" s="66" t="n"/>
      <c r="F10" s="66" t="n"/>
      <c r="G10" s="65" t="n"/>
      <c r="H10" s="47" t="n"/>
      <c r="I10" s="47" t="n"/>
      <c r="J10" s="47" t="n"/>
      <c r="K10" s="47" t="n"/>
      <c r="L10" s="47" t="n"/>
      <c r="M10" s="47" t="n"/>
      <c r="N10" s="47" t="n"/>
      <c r="O10" s="47" t="n"/>
      <c r="P10" s="47" t="n"/>
      <c r="Q10" s="47" t="n"/>
      <c r="R10" s="47" t="n"/>
      <c r="S10" s="47" t="n"/>
      <c r="T10" s="47" t="n"/>
      <c r="U10" s="47" t="n"/>
      <c r="V10" s="47" t="n"/>
      <c r="W10" s="47" t="n"/>
      <c r="X10" s="47" t="n"/>
      <c r="Y10" s="47" t="n"/>
      <c r="Z10" s="47" t="n"/>
      <c r="AA10" s="47" t="n"/>
      <c r="AB10" s="47" t="n"/>
      <c r="AC10" s="47" t="n"/>
      <c r="AD10" s="47" t="n"/>
      <c r="AE10" s="47" t="n"/>
      <c r="AF10" s="1" t="n"/>
      <c r="AG10" s="47" t="n"/>
    </row>
    <row r="11" ht="15.95" customHeight="1" s="27">
      <c r="A11" s="23" t="inlineStr">
        <is>
          <t>HEP-2150(一體式-標準)</t>
        </is>
      </c>
      <c r="B11" s="66">
        <f>底座!H6</f>
        <v/>
      </c>
      <c r="C11" s="66" t="n"/>
      <c r="D11" s="66" t="n"/>
      <c r="E11" s="66" t="n"/>
      <c r="F11" s="66" t="n"/>
      <c r="G11" s="65" t="n"/>
      <c r="H11" s="47" t="n"/>
      <c r="I11" s="47" t="n"/>
      <c r="J11" s="47" t="n"/>
      <c r="K11" s="47" t="n"/>
      <c r="L11" s="47" t="n"/>
      <c r="M11" s="47" t="n"/>
      <c r="N11" s="47" t="n"/>
      <c r="O11" s="47" t="n"/>
      <c r="P11" s="47" t="n"/>
      <c r="Q11" s="47" t="n"/>
      <c r="R11" s="47" t="n"/>
      <c r="S11" s="47" t="n"/>
      <c r="T11" s="47" t="n"/>
      <c r="U11" s="47" t="n"/>
      <c r="V11" s="47" t="n"/>
      <c r="W11" s="47" t="n"/>
      <c r="X11" s="47" t="n"/>
      <c r="Y11" s="47" t="n"/>
      <c r="Z11" s="47" t="n"/>
      <c r="AA11" s="47" t="n"/>
      <c r="AB11" s="47" t="n"/>
      <c r="AC11" s="47" t="n"/>
      <c r="AD11" s="47" t="n"/>
      <c r="AE11" s="47" t="n"/>
      <c r="AF11" s="1" t="n"/>
      <c r="AG11" s="47" t="n"/>
    </row>
    <row r="12" ht="15.95" customHeight="1" s="27">
      <c r="A12" s="23" t="inlineStr">
        <is>
          <t>HSA-216(一體式-標準)</t>
        </is>
      </c>
      <c r="B12" s="66">
        <f>底座!H7</f>
        <v/>
      </c>
      <c r="C12" s="66" t="n"/>
      <c r="D12" s="66" t="n"/>
      <c r="E12" s="66" t="n"/>
      <c r="F12" s="66" t="n"/>
      <c r="G12" s="65" t="n"/>
      <c r="H12" s="47" t="n"/>
      <c r="I12" s="47" t="n"/>
      <c r="J12" s="47" t="n"/>
      <c r="K12" s="47" t="n"/>
      <c r="L12" s="47" t="n"/>
      <c r="M12" s="47" t="n"/>
      <c r="N12" s="47" t="n"/>
      <c r="O12" s="47" t="n"/>
      <c r="P12" s="47" t="n"/>
      <c r="Q12" s="47" t="n"/>
      <c r="R12" s="47" t="n"/>
      <c r="S12" s="47" t="n"/>
      <c r="T12" s="47" t="n"/>
      <c r="U12" s="47" t="n"/>
      <c r="V12" s="47" t="n"/>
      <c r="W12" s="47" t="n"/>
      <c r="X12" s="47" t="n"/>
      <c r="Y12" s="47" t="n"/>
      <c r="Z12" s="47" t="n"/>
      <c r="AA12" s="47" t="n"/>
      <c r="AB12" s="47" t="n"/>
      <c r="AC12" s="47" t="n"/>
      <c r="AD12" s="47" t="n"/>
      <c r="AE12" s="47" t="n"/>
      <c r="AF12" s="1" t="n"/>
      <c r="AG12" s="47" t="n"/>
    </row>
    <row r="13" ht="15.95" customHeight="1" s="27">
      <c r="A13" s="23" t="inlineStr">
        <is>
          <t>HEP-216(一體式-100H)</t>
        </is>
      </c>
      <c r="B13" s="66">
        <f>底座!H8</f>
        <v/>
      </c>
      <c r="C13" s="66" t="n"/>
      <c r="D13" s="66" t="n"/>
      <c r="E13" s="66" t="n"/>
      <c r="F13" s="66" t="n"/>
      <c r="G13" s="65" t="n"/>
      <c r="H13" s="47" t="n"/>
      <c r="I13" s="47" t="n"/>
      <c r="J13" s="47" t="n"/>
      <c r="K13" s="47" t="n"/>
      <c r="L13" s="47" t="n"/>
      <c r="M13" s="47" t="n"/>
      <c r="N13" s="47" t="n"/>
      <c r="O13" s="47" t="n"/>
      <c r="P13" s="47" t="n"/>
      <c r="Q13" s="47" t="n"/>
      <c r="R13" s="47" t="n"/>
      <c r="S13" s="47" t="n"/>
      <c r="T13" s="47" t="n"/>
      <c r="U13" s="47" t="n"/>
      <c r="V13" s="47" t="n"/>
      <c r="W13" s="47" t="n"/>
      <c r="X13" s="47" t="n"/>
      <c r="Y13" s="47" t="n"/>
      <c r="Z13" s="47" t="n"/>
      <c r="AA13" s="47" t="n"/>
      <c r="AB13" s="47" t="n"/>
      <c r="AC13" s="47" t="n"/>
      <c r="AD13" s="47" t="n"/>
      <c r="AE13" s="47" t="n"/>
      <c r="AF13" s="1" t="n"/>
      <c r="AG13" s="47" t="n"/>
    </row>
    <row r="14" ht="15.95" customHeight="1" s="27">
      <c r="A14" s="23" t="inlineStr">
        <is>
          <t>HEP-216(一體式-200H)</t>
        </is>
      </c>
      <c r="B14" s="66">
        <f>底座!H9</f>
        <v/>
      </c>
      <c r="C14" s="66" t="n"/>
      <c r="D14" s="66" t="n"/>
      <c r="E14" s="66" t="n"/>
      <c r="F14" s="66" t="n"/>
      <c r="G14" s="65" t="n"/>
      <c r="H14" s="47" t="n"/>
      <c r="I14" s="47" t="n"/>
      <c r="J14" s="47" t="n"/>
      <c r="K14" s="47" t="n"/>
      <c r="L14" s="47" t="n"/>
      <c r="M14" s="47" t="n"/>
      <c r="N14" s="47" t="n"/>
      <c r="O14" s="47" t="n"/>
      <c r="P14" s="47" t="n"/>
      <c r="Q14" s="47" t="n"/>
      <c r="R14" s="47" t="n"/>
      <c r="S14" s="47" t="n"/>
      <c r="T14" s="47" t="n"/>
      <c r="U14" s="47" t="n"/>
      <c r="V14" s="47" t="n"/>
      <c r="W14" s="47" t="n"/>
      <c r="X14" s="47" t="n"/>
      <c r="Y14" s="47" t="n"/>
      <c r="Z14" s="47" t="n"/>
      <c r="AA14" s="47" t="n"/>
      <c r="AB14" s="47" t="n"/>
      <c r="AC14" s="47" t="n"/>
      <c r="AD14" s="47" t="n"/>
      <c r="AE14" s="47" t="n"/>
      <c r="AF14" s="1" t="n"/>
      <c r="AG14" s="47" t="n"/>
    </row>
    <row r="15" ht="15.95" customHeight="1" s="27">
      <c r="A15" s="23" t="inlineStr">
        <is>
          <t>HEP3150</t>
        </is>
      </c>
      <c r="B15" s="66">
        <f>底座!H10</f>
        <v/>
      </c>
      <c r="C15" s="66">
        <f>工作台!J5</f>
        <v/>
      </c>
      <c r="D15" s="66" t="n"/>
      <c r="E15" s="66" t="n"/>
      <c r="F15" s="66" t="n"/>
      <c r="G15" s="65" t="n"/>
      <c r="H15" s="47" t="n"/>
      <c r="I15" s="47" t="n"/>
      <c r="J15" s="47" t="n"/>
      <c r="K15" s="47" t="n"/>
      <c r="L15" s="47" t="n"/>
      <c r="M15" s="47" t="n"/>
      <c r="N15" s="47" t="n"/>
      <c r="O15" s="47" t="n"/>
      <c r="P15" s="47" t="n"/>
      <c r="Q15" s="47" t="n"/>
      <c r="R15" s="47" t="n"/>
      <c r="S15" s="47" t="n"/>
      <c r="T15" s="47" t="n"/>
      <c r="U15" s="47" t="n"/>
      <c r="V15" s="47" t="n"/>
      <c r="W15" s="47" t="n"/>
      <c r="X15" s="47" t="n"/>
      <c r="Y15" s="47" t="n"/>
      <c r="Z15" s="47" t="n"/>
      <c r="AA15" s="47" t="n"/>
      <c r="AB15" s="47" t="n"/>
      <c r="AC15" s="47" t="n"/>
      <c r="AD15" s="47" t="n"/>
      <c r="AE15" s="47" t="n"/>
      <c r="AF15" s="1" t="n"/>
      <c r="AG15" s="47" t="n"/>
    </row>
    <row r="16" ht="15.95" customHeight="1" s="27">
      <c r="A16" s="23" t="inlineStr">
        <is>
          <t>HEP-3150(一體式-Z-80)</t>
        </is>
      </c>
      <c r="B16" s="66">
        <f>底座!H11</f>
        <v/>
      </c>
      <c r="C16" s="66" t="n"/>
      <c r="D16" s="66" t="n"/>
      <c r="E16" s="66" t="n"/>
      <c r="F16" s="66" t="n"/>
      <c r="G16" s="65" t="n"/>
      <c r="H16" s="47" t="n"/>
      <c r="I16" s="47" t="n"/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47" t="n"/>
      <c r="T16" s="47" t="n"/>
      <c r="U16" s="47" t="n"/>
      <c r="V16" s="47" t="n"/>
      <c r="W16" s="47" t="n"/>
      <c r="X16" s="47" t="n"/>
      <c r="Y16" s="47" t="n"/>
      <c r="Z16" s="47" t="n"/>
      <c r="AA16" s="47" t="n"/>
      <c r="AB16" s="47" t="n"/>
      <c r="AC16" s="47" t="n"/>
      <c r="AD16" s="47" t="n"/>
      <c r="AE16" s="47" t="n"/>
      <c r="AF16" s="1" t="n"/>
      <c r="AG16" s="47" t="n"/>
    </row>
    <row r="17" ht="15.95" customHeight="1" s="27">
      <c r="A17" s="23" t="inlineStr">
        <is>
          <t>HEP-3150(一體式-標準)</t>
        </is>
      </c>
      <c r="B17" s="66">
        <f>底座!H12</f>
        <v/>
      </c>
      <c r="C17" s="66" t="n"/>
      <c r="D17" s="66" t="n"/>
      <c r="E17" s="66" t="n"/>
      <c r="F17" s="66" t="n"/>
      <c r="G17" s="65" t="n"/>
      <c r="H17" s="47" t="n"/>
      <c r="I17" s="47" t="n"/>
      <c r="J17" s="47" t="n"/>
      <c r="K17" s="47" t="n"/>
      <c r="L17" s="47" t="n"/>
      <c r="M17" s="47" t="n"/>
      <c r="N17" s="47" t="n"/>
      <c r="O17" s="47" t="n"/>
      <c r="P17" s="47" t="n"/>
      <c r="Q17" s="47" t="n"/>
      <c r="R17" s="47" t="n"/>
      <c r="S17" s="47" t="n"/>
      <c r="T17" s="47" t="n"/>
      <c r="U17" s="47" t="n"/>
      <c r="V17" s="47" t="n"/>
      <c r="W17" s="47" t="n"/>
      <c r="X17" s="47" t="n"/>
      <c r="Y17" s="47" t="n"/>
      <c r="Z17" s="47" t="n"/>
      <c r="AA17" s="47" t="n"/>
      <c r="AB17" s="47" t="n"/>
      <c r="AC17" s="47" t="n"/>
      <c r="AD17" s="47" t="n"/>
      <c r="AE17" s="47" t="n"/>
      <c r="AF17" s="1" t="n"/>
      <c r="AG17" s="47" t="n"/>
    </row>
    <row r="18" ht="15.95" customHeight="1" s="27">
      <c r="A18" s="23" t="inlineStr">
        <is>
          <t>HSA-316(一體式-標準)</t>
        </is>
      </c>
      <c r="B18" s="66">
        <f>底座!H13</f>
        <v/>
      </c>
      <c r="C18" s="66" t="n"/>
      <c r="D18" s="66" t="n"/>
      <c r="E18" s="66" t="n"/>
      <c r="F18" s="66" t="n"/>
      <c r="G18" s="65" t="n"/>
      <c r="H18" s="47" t="n"/>
      <c r="I18" s="47" t="n"/>
      <c r="J18" s="47" t="n"/>
      <c r="K18" s="47" t="n"/>
      <c r="L18" s="47" t="n"/>
      <c r="M18" s="47" t="n"/>
      <c r="N18" s="47" t="n"/>
      <c r="O18" s="47" t="n"/>
      <c r="P18" s="47" t="n"/>
      <c r="Q18" s="47" t="n"/>
      <c r="R18" s="47" t="n"/>
      <c r="S18" s="47" t="n"/>
      <c r="T18" s="47" t="n"/>
      <c r="U18" s="47" t="n"/>
      <c r="V18" s="47" t="n"/>
      <c r="W18" s="47" t="n"/>
      <c r="X18" s="47" t="n"/>
      <c r="Y18" s="47" t="n"/>
      <c r="Z18" s="47" t="n"/>
      <c r="AA18" s="47" t="n"/>
      <c r="AB18" s="47" t="n"/>
      <c r="AC18" s="47" t="n"/>
      <c r="AD18" s="47" t="n"/>
      <c r="AE18" s="47" t="n"/>
      <c r="AF18" s="1" t="n"/>
      <c r="AG18" s="47" t="n"/>
    </row>
    <row r="19" ht="15.95" customHeight="1" s="27">
      <c r="A19" s="23" t="inlineStr">
        <is>
          <t>HSA-316(一體式-100H)</t>
        </is>
      </c>
      <c r="B19" s="66">
        <f>底座!H14</f>
        <v/>
      </c>
      <c r="C19" s="66" t="n"/>
      <c r="D19" s="66" t="n"/>
      <c r="E19" s="66" t="n"/>
      <c r="F19" s="66" t="n"/>
      <c r="G19" s="65" t="n"/>
      <c r="H19" s="47" t="n"/>
      <c r="I19" s="47" t="n"/>
      <c r="J19" s="47" t="n"/>
      <c r="K19" s="47" t="n"/>
      <c r="L19" s="47" t="n"/>
      <c r="M19" s="47" t="n"/>
      <c r="N19" s="47" t="n"/>
      <c r="O19" s="47" t="n"/>
      <c r="P19" s="47" t="n"/>
      <c r="Q19" s="47" t="n"/>
      <c r="R19" s="47" t="n"/>
      <c r="S19" s="47" t="n"/>
      <c r="T19" s="47" t="n"/>
      <c r="U19" s="47" t="n"/>
      <c r="V19" s="47" t="n"/>
      <c r="W19" s="47" t="n"/>
      <c r="X19" s="47" t="n"/>
      <c r="Y19" s="47" t="n"/>
      <c r="Z19" s="47" t="n"/>
      <c r="AA19" s="47" t="n"/>
      <c r="AB19" s="47" t="n"/>
      <c r="AC19" s="47" t="n"/>
      <c r="AD19" s="47" t="n"/>
      <c r="AE19" s="47" t="n"/>
      <c r="AF19" s="1" t="n"/>
      <c r="AG19" s="47" t="n"/>
    </row>
    <row r="20" ht="15.95" customHeight="1" s="27">
      <c r="A20" s="23" t="inlineStr">
        <is>
          <t>HSA-316(一體式-200H)</t>
        </is>
      </c>
      <c r="B20" s="66">
        <f>底座!H15</f>
        <v/>
      </c>
      <c r="C20" s="66" t="n"/>
      <c r="D20" s="66" t="n"/>
      <c r="E20" s="66" t="n"/>
      <c r="F20" s="66" t="n"/>
      <c r="G20" s="65" t="n"/>
      <c r="H20" s="47" t="n"/>
      <c r="I20" s="47" t="n"/>
      <c r="J20" s="47" t="n"/>
      <c r="K20" s="47" t="n"/>
      <c r="L20" s="47" t="n"/>
      <c r="M20" s="47" t="n"/>
      <c r="N20" s="47" t="n"/>
      <c r="O20" s="47" t="n"/>
      <c r="P20" s="47" t="n"/>
      <c r="Q20" s="47" t="n"/>
      <c r="R20" s="47" t="n"/>
      <c r="S20" s="47" t="n"/>
      <c r="T20" s="47" t="n"/>
      <c r="U20" s="47" t="n"/>
      <c r="V20" s="47" t="n"/>
      <c r="W20" s="47" t="n"/>
      <c r="X20" s="47" t="n"/>
      <c r="Y20" s="47" t="n"/>
      <c r="Z20" s="47" t="n"/>
      <c r="AA20" s="47" t="n"/>
      <c r="AB20" s="47" t="n"/>
      <c r="AC20" s="47" t="n"/>
      <c r="AD20" s="47" t="n"/>
      <c r="AE20" s="47" t="n"/>
      <c r="AF20" s="1" t="n"/>
      <c r="AG20" s="47" t="n"/>
    </row>
    <row r="21" ht="15.95" customHeight="1" s="27">
      <c r="A21" s="23" t="inlineStr">
        <is>
          <t>HSA-316</t>
        </is>
      </c>
      <c r="B21" s="66" t="n"/>
      <c r="C21" s="66">
        <f>工作台!J6</f>
        <v/>
      </c>
      <c r="D21" s="66" t="n"/>
      <c r="E21" s="66" t="n"/>
      <c r="F21" s="66" t="n"/>
      <c r="G21" s="65" t="n"/>
      <c r="H21" s="47" t="n"/>
      <c r="I21" s="47" t="n"/>
      <c r="J21" s="47" t="n"/>
      <c r="K21" s="47" t="n"/>
      <c r="L21" s="47" t="n"/>
      <c r="M21" s="47" t="n"/>
      <c r="N21" s="47" t="n"/>
      <c r="O21" s="47" t="n"/>
      <c r="P21" s="47" t="n"/>
      <c r="Q21" s="47" t="n"/>
      <c r="R21" s="47" t="n"/>
      <c r="S21" s="47" t="n"/>
      <c r="T21" s="47" t="n"/>
      <c r="U21" s="47" t="n"/>
      <c r="V21" s="47" t="n"/>
      <c r="W21" s="47" t="n"/>
      <c r="X21" s="47" t="n"/>
      <c r="Y21" s="47" t="n"/>
      <c r="Z21" s="47" t="n"/>
      <c r="AA21" s="47" t="n"/>
      <c r="AB21" s="47" t="n"/>
      <c r="AC21" s="47" t="n"/>
      <c r="AD21" s="47" t="n"/>
      <c r="AE21" s="47" t="n"/>
      <c r="AF21" s="1" t="n"/>
      <c r="AG21" s="47" t="n"/>
    </row>
    <row r="22" ht="15.95" customHeight="1" s="27">
      <c r="A22" s="23" t="inlineStr">
        <is>
          <t>HEP-1420立柱</t>
        </is>
      </c>
      <c r="B22" s="66" t="n"/>
      <c r="C22" s="66" t="n"/>
      <c r="D22" s="66" t="n"/>
      <c r="E22" s="66">
        <f>立柱!#REF!</f>
        <v/>
      </c>
      <c r="F22" s="66" t="n"/>
      <c r="G22" s="65" t="n"/>
      <c r="H22" s="47" t="n"/>
      <c r="I22" s="47" t="n"/>
      <c r="J22" s="47" t="n"/>
      <c r="K22" s="47" t="n"/>
      <c r="L22" s="47" t="n"/>
      <c r="M22" s="47" t="n"/>
      <c r="N22" s="47" t="n"/>
      <c r="O22" s="47" t="n"/>
      <c r="P22" s="47" t="n"/>
      <c r="Q22" s="47" t="n"/>
      <c r="R22" s="47" t="n"/>
      <c r="S22" s="47" t="n"/>
      <c r="T22" s="47" t="n"/>
      <c r="U22" s="47" t="n"/>
      <c r="V22" s="47" t="n"/>
      <c r="W22" s="47" t="n"/>
      <c r="X22" s="47" t="n"/>
      <c r="Y22" s="47" t="n"/>
      <c r="Z22" s="47" t="n"/>
      <c r="AA22" s="47" t="n"/>
      <c r="AB22" s="47" t="n"/>
      <c r="AC22" s="47" t="n"/>
      <c r="AD22" s="47" t="n"/>
      <c r="AE22" s="47" t="n"/>
      <c r="AF22" s="1" t="n"/>
      <c r="AG22" s="47" t="n"/>
    </row>
    <row r="23" ht="15.95" customHeight="1" s="27">
      <c r="A23" s="23" t="inlineStr">
        <is>
          <t>HEP-1520立柱</t>
        </is>
      </c>
      <c r="B23" s="66" t="n"/>
      <c r="C23" s="66" t="n"/>
      <c r="D23" s="66" t="n"/>
      <c r="E23" s="66">
        <f>立柱!#REF!</f>
        <v/>
      </c>
      <c r="F23" s="66" t="n"/>
      <c r="G23" s="65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S23" s="47" t="n"/>
      <c r="T23" s="47" t="n"/>
      <c r="U23" s="47" t="n"/>
      <c r="V23" s="47" t="n"/>
      <c r="W23" s="47" t="n"/>
      <c r="X23" s="47" t="n"/>
      <c r="Y23" s="47" t="n"/>
      <c r="Z23" s="47" t="n"/>
      <c r="AA23" s="47" t="n"/>
      <c r="AB23" s="47" t="n"/>
      <c r="AC23" s="47" t="n"/>
      <c r="AD23" s="47" t="n"/>
      <c r="AE23" s="47" t="n"/>
      <c r="AF23" s="1" t="n"/>
      <c r="AG23" s="47" t="n"/>
    </row>
    <row r="24" ht="15.95" customHeight="1" s="27">
      <c r="A24" s="23" t="inlineStr">
        <is>
          <t>HEP-1620立柱</t>
        </is>
      </c>
      <c r="B24" s="66" t="n"/>
      <c r="C24" s="66" t="n"/>
      <c r="D24" s="66" t="n"/>
      <c r="E24" s="66">
        <f>立柱!#REF!</f>
        <v/>
      </c>
      <c r="F24" s="66" t="n"/>
      <c r="G24" s="65" t="n"/>
      <c r="H24" s="47" t="n"/>
      <c r="I24" s="47" t="n"/>
      <c r="J24" s="47" t="n"/>
      <c r="K24" s="47" t="n"/>
      <c r="L24" s="47" t="n"/>
      <c r="M24" s="47" t="n"/>
      <c r="N24" s="47" t="n"/>
      <c r="O24" s="47" t="n"/>
      <c r="P24" s="47" t="n"/>
      <c r="Q24" s="47" t="n"/>
      <c r="R24" s="47" t="n"/>
      <c r="S24" s="47" t="n"/>
      <c r="T24" s="47" t="n"/>
      <c r="U24" s="47" t="n"/>
      <c r="V24" s="47" t="n"/>
      <c r="W24" s="47" t="n"/>
      <c r="X24" s="47" t="n"/>
      <c r="Y24" s="47" t="n"/>
      <c r="Z24" s="47" t="n"/>
      <c r="AA24" s="47" t="n"/>
      <c r="AB24" s="47" t="n"/>
      <c r="AC24" s="47" t="n"/>
      <c r="AD24" s="47" t="n"/>
      <c r="AE24" s="47" t="n"/>
      <c r="AF24" s="1" t="n"/>
      <c r="AG24" s="47" t="n"/>
    </row>
    <row r="25" ht="15.95" customHeight="1" s="27">
      <c r="A25" s="23" t="inlineStr">
        <is>
          <t>HEP-1720立柱</t>
        </is>
      </c>
      <c r="B25" s="66" t="n"/>
      <c r="C25" s="66" t="n"/>
      <c r="D25" s="66" t="n"/>
      <c r="E25" s="66">
        <f>立柱!#REF!</f>
        <v/>
      </c>
      <c r="F25" s="66" t="n"/>
      <c r="G25" s="65" t="n"/>
      <c r="H25" s="47" t="n"/>
      <c r="I25" s="47" t="n"/>
      <c r="J25" s="47" t="n"/>
      <c r="K25" s="47" t="n"/>
      <c r="L25" s="47" t="n"/>
      <c r="M25" s="47" t="n"/>
      <c r="N25" s="47" t="n"/>
      <c r="O25" s="47" t="n"/>
      <c r="P25" s="47" t="n"/>
      <c r="Q25" s="47" t="n"/>
      <c r="R25" s="47" t="n"/>
      <c r="S25" s="47" t="n"/>
      <c r="T25" s="47" t="n"/>
      <c r="U25" s="47" t="n"/>
      <c r="V25" s="47" t="n"/>
      <c r="W25" s="47" t="n"/>
      <c r="X25" s="47" t="n"/>
      <c r="Y25" s="47" t="n"/>
      <c r="Z25" s="47" t="n"/>
      <c r="AA25" s="47" t="n"/>
      <c r="AB25" s="47" t="n"/>
      <c r="AC25" s="47" t="n"/>
      <c r="AD25" s="47" t="n"/>
      <c r="AE25" s="47" t="n"/>
      <c r="AF25" s="1" t="n"/>
      <c r="AG25" s="47" t="n"/>
    </row>
    <row r="26" ht="15.95" customHeight="1" s="27">
      <c r="A26" s="23" t="inlineStr">
        <is>
          <t>HSA-2212</t>
        </is>
      </c>
      <c r="B26" s="66">
        <f>底座!H2</f>
        <v/>
      </c>
      <c r="C26" s="66">
        <f>工作台!J43</f>
        <v/>
      </c>
      <c r="D26" s="66" t="n"/>
      <c r="E26" s="66" t="n"/>
      <c r="F26" s="66" t="n"/>
      <c r="G26" s="65" t="n"/>
      <c r="H26" s="47" t="n"/>
      <c r="I26" s="47" t="n"/>
      <c r="J26" s="47" t="n"/>
      <c r="K26" s="47" t="n"/>
      <c r="L26" s="47" t="n"/>
      <c r="M26" s="47" t="n"/>
      <c r="N26" s="47" t="n"/>
      <c r="O26" s="47" t="n"/>
      <c r="P26" s="47" t="n"/>
      <c r="Q26" s="47" t="n"/>
      <c r="R26" s="47" t="n"/>
      <c r="S26" s="47" t="n"/>
      <c r="T26" s="47" t="n"/>
      <c r="U26" s="47" t="n"/>
      <c r="V26" s="47" t="n"/>
      <c r="W26" s="47" t="n"/>
      <c r="X26" s="47" t="n"/>
      <c r="Y26" s="47" t="n"/>
      <c r="Z26" s="47" t="n"/>
      <c r="AA26" s="47" t="n"/>
      <c r="AB26" s="47" t="n"/>
      <c r="AC26" s="47" t="n"/>
      <c r="AD26" s="47" t="n"/>
      <c r="AE26" s="47" t="n"/>
      <c r="AF26" s="1" t="n"/>
      <c r="AG26" s="47" t="n"/>
    </row>
    <row r="27" ht="15.95" customHeight="1" s="27">
      <c r="A27" s="23" t="inlineStr">
        <is>
          <t>HSA-2212(一體式-200H)</t>
        </is>
      </c>
      <c r="B27" s="66">
        <f>底座!H3</f>
        <v/>
      </c>
      <c r="C27" s="66" t="n"/>
      <c r="D27" s="66" t="n"/>
      <c r="E27" s="66" t="n"/>
      <c r="F27" s="66" t="n"/>
      <c r="G27" s="65" t="n"/>
      <c r="H27" s="47" t="n"/>
      <c r="I27" s="47" t="n"/>
      <c r="J27" s="47" t="n"/>
      <c r="K27" s="47" t="n"/>
      <c r="L27" s="47" t="n"/>
      <c r="M27" s="47" t="n"/>
      <c r="N27" s="47" t="n"/>
      <c r="O27" s="47" t="n"/>
      <c r="P27" s="47" t="n"/>
      <c r="Q27" s="47" t="n"/>
      <c r="R27" s="47" t="n"/>
      <c r="S27" s="47" t="n"/>
      <c r="T27" s="47" t="n"/>
      <c r="U27" s="47" t="n"/>
      <c r="V27" s="47" t="n"/>
      <c r="W27" s="47" t="n"/>
      <c r="X27" s="47" t="n"/>
      <c r="Y27" s="47" t="n"/>
      <c r="Z27" s="47" t="n"/>
      <c r="AA27" s="47" t="n"/>
      <c r="AB27" s="47" t="n"/>
      <c r="AC27" s="47" t="n"/>
      <c r="AD27" s="47" t="n"/>
      <c r="AE27" s="47" t="n"/>
      <c r="AF27" s="1" t="n"/>
      <c r="AG27" s="47" t="n"/>
    </row>
    <row r="28" ht="15.95" customHeight="1" s="27">
      <c r="A28" s="23" t="inlineStr">
        <is>
          <t>HSA-3212</t>
        </is>
      </c>
      <c r="B28" s="66">
        <f>底座!H4</f>
        <v/>
      </c>
      <c r="C28" s="66">
        <f>工作台!J44</f>
        <v/>
      </c>
      <c r="D28" s="66" t="n"/>
      <c r="E28" s="66" t="n"/>
      <c r="F28" s="66" t="n"/>
      <c r="G28" s="65" t="n"/>
      <c r="H28" s="47" t="n"/>
      <c r="I28" s="47" t="n"/>
      <c r="J28" s="47" t="n"/>
      <c r="K28" s="47" t="n"/>
      <c r="L28" s="47" t="n"/>
      <c r="M28" s="47" t="n"/>
      <c r="N28" s="47" t="n"/>
      <c r="O28" s="47" t="n"/>
      <c r="P28" s="47" t="n"/>
      <c r="Q28" s="47" t="n"/>
      <c r="R28" s="47" t="n"/>
      <c r="S28" s="47" t="n"/>
      <c r="T28" s="47" t="n"/>
      <c r="U28" s="47" t="n"/>
      <c r="V28" s="47" t="n"/>
      <c r="W28" s="47" t="n"/>
      <c r="X28" s="47" t="n"/>
      <c r="Y28" s="47" t="n"/>
      <c r="Z28" s="47" t="n"/>
      <c r="AA28" s="47" t="n"/>
      <c r="AB28" s="47" t="n"/>
      <c r="AC28" s="47" t="n"/>
      <c r="AD28" s="47" t="n"/>
      <c r="AE28" s="47" t="n"/>
      <c r="AF28" s="1" t="n"/>
      <c r="AG28" s="47" t="n"/>
    </row>
    <row r="29" ht="15.95" customHeight="1" s="27">
      <c r="A29" s="23" t="inlineStr">
        <is>
          <t>HSA-220</t>
        </is>
      </c>
      <c r="B29" s="66">
        <f>底座!H16</f>
        <v/>
      </c>
      <c r="C29" s="66">
        <f>工作台!J7</f>
        <v/>
      </c>
      <c r="D29" s="66" t="n"/>
      <c r="E29" s="66" t="n"/>
      <c r="F29" s="66" t="n"/>
      <c r="G29" s="65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47" t="n"/>
      <c r="T29" s="47" t="n"/>
      <c r="U29" s="47" t="n"/>
      <c r="V29" s="47" t="n"/>
      <c r="W29" s="47" t="n"/>
      <c r="X29" s="47" t="n"/>
      <c r="Y29" s="47" t="n"/>
      <c r="Z29" s="47" t="n"/>
      <c r="AA29" s="47" t="n"/>
      <c r="AB29" s="47" t="n"/>
      <c r="AC29" s="47" t="n"/>
      <c r="AD29" s="47" t="n"/>
      <c r="AE29" s="47" t="n"/>
      <c r="AF29" s="1" t="n"/>
      <c r="AG29" s="47" t="n"/>
    </row>
    <row r="30" ht="15.95" customHeight="1" s="27">
      <c r="A30" s="23" t="inlineStr">
        <is>
          <t>HSA-320</t>
        </is>
      </c>
      <c r="B30" s="66">
        <f>底座!H17</f>
        <v/>
      </c>
      <c r="C30" s="66">
        <f>工作台!J8</f>
        <v/>
      </c>
      <c r="D30" s="66" t="n"/>
      <c r="E30" s="66" t="n"/>
      <c r="F30" s="66" t="n"/>
      <c r="G30" s="65" t="n"/>
      <c r="H30" s="47" t="n"/>
      <c r="I30" s="47" t="n"/>
      <c r="J30" s="47" t="n"/>
      <c r="K30" s="47" t="n"/>
      <c r="L30" s="47" t="n"/>
      <c r="M30" s="47" t="n"/>
      <c r="N30" s="47" t="n"/>
      <c r="O30" s="47" t="n"/>
      <c r="P30" s="47" t="n"/>
      <c r="Q30" s="47" t="n"/>
      <c r="R30" s="47" t="n"/>
      <c r="S30" s="47" t="n"/>
      <c r="T30" s="47" t="n"/>
      <c r="U30" s="47" t="n"/>
      <c r="V30" s="47" t="n"/>
      <c r="W30" s="47" t="n"/>
      <c r="X30" s="47" t="n"/>
      <c r="Y30" s="47" t="n"/>
      <c r="Z30" s="47" t="n"/>
      <c r="AA30" s="47" t="n"/>
      <c r="AB30" s="47" t="n"/>
      <c r="AC30" s="47" t="n"/>
      <c r="AD30" s="47" t="n"/>
      <c r="AE30" s="47" t="n"/>
      <c r="AF30" s="1" t="n"/>
      <c r="AG30" s="47" t="n"/>
    </row>
    <row r="31" ht="15.95" customHeight="1" s="27">
      <c r="A31" s="23" t="inlineStr">
        <is>
          <t>HSA-320_NEO</t>
        </is>
      </c>
      <c r="B31" s="66">
        <f>底座!H18</f>
        <v/>
      </c>
      <c r="C31" s="66">
        <f>工作台!J9</f>
        <v/>
      </c>
      <c r="D31" s="66" t="n"/>
      <c r="E31" s="66" t="n"/>
      <c r="F31" s="66" t="n"/>
      <c r="G31" s="65" t="n"/>
      <c r="H31" s="47" t="n"/>
      <c r="I31" s="47" t="n"/>
      <c r="J31" s="47" t="n"/>
      <c r="K31" s="47" t="n"/>
      <c r="L31" s="47" t="n"/>
      <c r="M31" s="47" t="n"/>
      <c r="N31" s="47" t="n"/>
      <c r="O31" s="47" t="n"/>
      <c r="P31" s="47" t="n"/>
      <c r="Q31" s="47" t="n"/>
      <c r="R31" s="47" t="n"/>
      <c r="S31" s="47" t="n"/>
      <c r="T31" s="47" t="n"/>
      <c r="U31" s="47" t="n"/>
      <c r="V31" s="47" t="n"/>
      <c r="W31" s="47" t="n"/>
      <c r="X31" s="47" t="n"/>
      <c r="Y31" s="47" t="n"/>
      <c r="Z31" s="47" t="n"/>
      <c r="AA31" s="47" t="n"/>
      <c r="AB31" s="47" t="n"/>
      <c r="AC31" s="47" t="n"/>
      <c r="AD31" s="47" t="n"/>
      <c r="AE31" s="47" t="n"/>
      <c r="AF31" s="1" t="n"/>
      <c r="AG31" s="47" t="n"/>
    </row>
    <row r="32" ht="15.95" customHeight="1" s="27">
      <c r="A32" s="23" t="inlineStr">
        <is>
          <t>HSA323</t>
        </is>
      </c>
      <c r="B32" s="66">
        <f>底座!H19</f>
        <v/>
      </c>
      <c r="C32" s="66">
        <f>工作台!J10</f>
        <v/>
      </c>
      <c r="D32" s="66" t="n"/>
      <c r="E32" s="66" t="n"/>
      <c r="F32" s="66" t="n"/>
      <c r="G32" s="65" t="n"/>
      <c r="H32" s="47" t="n"/>
      <c r="I32" s="47" t="n"/>
      <c r="J32" s="47" t="n"/>
      <c r="K32" s="47" t="n"/>
      <c r="L32" s="47" t="n"/>
      <c r="M32" s="47" t="n"/>
      <c r="N32" s="47" t="n"/>
      <c r="O32" s="47" t="n"/>
      <c r="P32" s="47" t="n"/>
      <c r="Q32" s="47" t="n"/>
      <c r="R32" s="47" t="n"/>
      <c r="S32" s="47" t="n"/>
      <c r="T32" s="47" t="n"/>
      <c r="U32" s="47" t="n"/>
      <c r="V32" s="47" t="n"/>
      <c r="W32" s="47" t="n"/>
      <c r="X32" s="47" t="n"/>
      <c r="Y32" s="47" t="n"/>
      <c r="Z32" s="47" t="n"/>
      <c r="AA32" s="47" t="n"/>
      <c r="AB32" s="47" t="n"/>
      <c r="AC32" s="47" t="n"/>
      <c r="AD32" s="47" t="n"/>
      <c r="AE32" s="47" t="n"/>
      <c r="AF32" s="1" t="n"/>
      <c r="AG32" s="47" t="n"/>
    </row>
    <row r="33" ht="15.95" customHeight="1" s="27">
      <c r="A33" s="23" t="inlineStr">
        <is>
          <t>HSA328</t>
        </is>
      </c>
      <c r="B33" s="71">
        <f>底座!H20</f>
        <v/>
      </c>
      <c r="C33" s="66">
        <f>工作台!J11</f>
        <v/>
      </c>
      <c r="D33" s="66" t="n"/>
      <c r="E33" s="66" t="n"/>
      <c r="F33" s="66" t="n"/>
      <c r="G33" s="65" t="n"/>
      <c r="H33" s="47" t="n"/>
      <c r="I33" s="47" t="n"/>
      <c r="J33" s="47" t="n"/>
      <c r="K33" s="47" t="n"/>
      <c r="L33" s="47" t="n"/>
      <c r="M33" s="47" t="n"/>
      <c r="N33" s="47" t="n"/>
      <c r="O33" s="47" t="n"/>
      <c r="P33" s="47" t="n"/>
      <c r="Q33" s="47" t="n"/>
      <c r="R33" s="47" t="n"/>
      <c r="S33" s="47" t="n"/>
      <c r="T33" s="47" t="n"/>
      <c r="U33" s="47" t="n"/>
      <c r="V33" s="47" t="n"/>
      <c r="W33" s="47" t="n"/>
      <c r="X33" s="47" t="n"/>
      <c r="Y33" s="47" t="n"/>
      <c r="Z33" s="47" t="n"/>
      <c r="AA33" s="47" t="n"/>
      <c r="AB33" s="47" t="n"/>
      <c r="AC33" s="47" t="n"/>
      <c r="AD33" s="47" t="n"/>
      <c r="AE33" s="47" t="n"/>
      <c r="AF33" s="1" t="n"/>
      <c r="AG33" s="47" t="n"/>
    </row>
    <row r="34" ht="15.95" customHeight="1" s="27">
      <c r="A34" s="23" t="inlineStr">
        <is>
          <t>HSA327</t>
        </is>
      </c>
      <c r="B34" s="66">
        <f>底座!H21</f>
        <v/>
      </c>
      <c r="C34" s="66" t="n"/>
      <c r="D34" s="66" t="n"/>
      <c r="E34" s="66" t="n"/>
      <c r="F34" s="66" t="n"/>
      <c r="G34" s="65" t="n"/>
      <c r="H34" s="47" t="n"/>
      <c r="I34" s="47" t="n"/>
      <c r="J34" s="47" t="n"/>
      <c r="K34" s="47" t="n"/>
      <c r="L34" s="47" t="n"/>
      <c r="M34" s="47" t="n"/>
      <c r="N34" s="47" t="n"/>
      <c r="O34" s="47" t="n"/>
      <c r="P34" s="47" t="n"/>
      <c r="Q34" s="47" t="n"/>
      <c r="R34" s="47" t="n"/>
      <c r="S34" s="47" t="n"/>
      <c r="T34" s="47" t="n"/>
      <c r="U34" s="47" t="n"/>
      <c r="V34" s="47" t="n"/>
      <c r="W34" s="47" t="n"/>
      <c r="X34" s="47" t="n"/>
      <c r="Y34" s="47" t="n"/>
      <c r="Z34" s="47" t="n"/>
      <c r="AA34" s="47" t="n"/>
      <c r="AB34" s="47" t="n"/>
      <c r="AC34" s="47" t="n"/>
      <c r="AD34" s="47" t="n"/>
      <c r="AE34" s="47" t="n"/>
      <c r="AF34" s="1" t="n"/>
      <c r="AG34" s="47" t="n"/>
    </row>
    <row r="35" ht="15.95" customHeight="1" s="27">
      <c r="A35" s="23" t="inlineStr">
        <is>
          <t>HSA-420</t>
        </is>
      </c>
      <c r="B35" s="66">
        <f>底座!H22</f>
        <v/>
      </c>
      <c r="C35" s="66">
        <f>工作台!J12</f>
        <v/>
      </c>
      <c r="D35" s="66" t="n">
        <v>0</v>
      </c>
      <c r="E35" s="66" t="n"/>
      <c r="F35" s="66" t="n"/>
      <c r="G35" s="65" t="n"/>
      <c r="H35" s="47" t="n"/>
      <c r="I35" s="47" t="n"/>
      <c r="J35" s="47" t="n"/>
      <c r="K35" s="47" t="n"/>
      <c r="L35" s="47" t="n"/>
      <c r="M35" s="47" t="n"/>
      <c r="N35" s="47" t="n"/>
      <c r="O35" s="47" t="n"/>
      <c r="P35" s="47" t="n"/>
      <c r="Q35" s="47" t="n"/>
      <c r="R35" s="47" t="n"/>
      <c r="S35" s="47" t="n"/>
      <c r="T35" s="47" t="n"/>
      <c r="U35" s="47" t="n"/>
      <c r="V35" s="47" t="n"/>
      <c r="W35" s="47" t="n"/>
      <c r="X35" s="47" t="n"/>
      <c r="Y35" s="47" t="n"/>
      <c r="Z35" s="47" t="n"/>
      <c r="AA35" s="47" t="n"/>
      <c r="AB35" s="47" t="n"/>
      <c r="AC35" s="47" t="n"/>
      <c r="AD35" s="47" t="n"/>
      <c r="AE35" s="47" t="n"/>
      <c r="AF35" s="1" t="n"/>
      <c r="AG35" s="47" t="n"/>
    </row>
    <row r="36" ht="15.95" customHeight="1" s="27">
      <c r="A36" s="23" t="inlineStr">
        <is>
          <t>HSA423_NEO</t>
        </is>
      </c>
      <c r="B36" s="66">
        <f>底座!H24</f>
        <v/>
      </c>
      <c r="C36" s="66">
        <f>工作台!J13</f>
        <v/>
      </c>
      <c r="D36" s="66" t="n">
        <v>0</v>
      </c>
      <c r="E36" s="66" t="n"/>
      <c r="F36" s="66" t="n"/>
      <c r="G36" s="65" t="n"/>
      <c r="H36" s="47" t="n"/>
      <c r="I36" s="47" t="n"/>
      <c r="J36" s="47" t="n"/>
      <c r="K36" s="47" t="n"/>
      <c r="L36" s="47" t="n"/>
      <c r="M36" s="47" t="n"/>
      <c r="N36" s="47" t="n"/>
      <c r="O36" s="47" t="n"/>
      <c r="P36" s="47" t="n"/>
      <c r="Q36" s="47" t="n"/>
      <c r="R36" s="47" t="n"/>
      <c r="S36" s="47" t="n"/>
      <c r="T36" s="47" t="n"/>
      <c r="U36" s="47" t="n"/>
      <c r="V36" s="47" t="n"/>
      <c r="W36" s="47" t="n"/>
      <c r="X36" s="47" t="n"/>
      <c r="Y36" s="47" t="n"/>
      <c r="Z36" s="47" t="n"/>
      <c r="AA36" s="47" t="n"/>
      <c r="AB36" s="47" t="n"/>
      <c r="AC36" s="47" t="n"/>
      <c r="AD36" s="47" t="n"/>
      <c r="AE36" s="47" t="n"/>
      <c r="AF36" s="1" t="n"/>
      <c r="AG36" s="47" t="n"/>
    </row>
    <row r="37" ht="15.95" customHeight="1" s="27">
      <c r="A37" s="22" t="inlineStr">
        <is>
          <t>HSA423</t>
        </is>
      </c>
      <c r="B37" s="72">
        <f>底座!H23</f>
        <v/>
      </c>
      <c r="C37" s="73">
        <f>工作台!J14</f>
        <v/>
      </c>
      <c r="D37" s="66" t="n">
        <v>0</v>
      </c>
      <c r="E37" s="66" t="n"/>
      <c r="F37" s="66" t="n"/>
      <c r="G37" s="65" t="n"/>
      <c r="H37" s="47" t="n"/>
      <c r="I37" s="47" t="n"/>
      <c r="J37" s="47" t="n"/>
      <c r="K37" s="47" t="n"/>
      <c r="L37" s="47" t="n"/>
      <c r="M37" s="47" t="n"/>
      <c r="N37" s="47" t="n"/>
      <c r="O37" s="47" t="n"/>
      <c r="P37" s="47" t="n"/>
      <c r="Q37" s="47" t="n"/>
      <c r="R37" s="47" t="n"/>
      <c r="S37" s="47" t="n"/>
      <c r="T37" s="47" t="n"/>
      <c r="U37" s="47" t="n"/>
      <c r="V37" s="47" t="n"/>
      <c r="W37" s="47" t="n"/>
      <c r="X37" s="47" t="n"/>
      <c r="Y37" s="47" t="n"/>
      <c r="Z37" s="47" t="n"/>
      <c r="AA37" s="47" t="n"/>
      <c r="AB37" s="47" t="n"/>
      <c r="AC37" s="47" t="n"/>
      <c r="AD37" s="47" t="n"/>
      <c r="AE37" s="47" t="n"/>
      <c r="AF37" s="1" t="n"/>
      <c r="AG37" s="47" t="n"/>
    </row>
    <row r="38" ht="15.95" customHeight="1" s="27">
      <c r="A38" s="23" t="inlineStr">
        <is>
          <t>HAS-4265</t>
        </is>
      </c>
      <c r="B38" s="66" t="n"/>
      <c r="C38" s="66" t="n"/>
      <c r="D38" s="66" t="n"/>
      <c r="E38" s="66">
        <f>立柱!#REF!</f>
        <v/>
      </c>
      <c r="F38" s="66" t="n"/>
      <c r="G38" s="65" t="n"/>
      <c r="H38" s="47" t="n"/>
      <c r="I38" s="47" t="n"/>
      <c r="J38" s="47" t="n"/>
      <c r="K38" s="47" t="n"/>
      <c r="L38" s="47" t="n"/>
      <c r="M38" s="47" t="n"/>
      <c r="N38" s="47" t="n"/>
      <c r="O38" s="47" t="n"/>
      <c r="P38" s="47" t="n"/>
      <c r="Q38" s="47" t="n"/>
      <c r="R38" s="47" t="n"/>
      <c r="S38" s="47" t="n"/>
      <c r="T38" s="47" t="n"/>
      <c r="U38" s="47" t="n"/>
      <c r="V38" s="47" t="n"/>
      <c r="W38" s="47" t="n"/>
      <c r="X38" s="47" t="n"/>
      <c r="Y38" s="47" t="n"/>
      <c r="Z38" s="47" t="n"/>
      <c r="AA38" s="47" t="n"/>
      <c r="AB38" s="47" t="n"/>
      <c r="AC38" s="47" t="n"/>
      <c r="AD38" s="47" t="n"/>
      <c r="AE38" s="47" t="n"/>
      <c r="AF38" s="1" t="n"/>
      <c r="AG38" s="47" t="n"/>
    </row>
    <row r="39" ht="15.95" customHeight="1" s="27">
      <c r="A39" s="22" t="inlineStr">
        <is>
          <t>HSA427</t>
        </is>
      </c>
      <c r="B39" s="66">
        <f>底座!H25</f>
        <v/>
      </c>
      <c r="C39" s="66" t="n"/>
      <c r="D39" s="66" t="n">
        <v>0</v>
      </c>
      <c r="E39" s="66" t="n"/>
      <c r="F39" s="66" t="n"/>
      <c r="G39" s="65" t="n"/>
      <c r="H39" s="47" t="n"/>
      <c r="I39" s="47" t="n"/>
      <c r="J39" s="47" t="n"/>
      <c r="K39" s="47" t="n"/>
      <c r="L39" s="47" t="n"/>
      <c r="M39" s="47" t="n"/>
      <c r="N39" s="47" t="n"/>
      <c r="O39" s="47" t="n"/>
      <c r="P39" s="47" t="n"/>
      <c r="Q39" s="47" t="n"/>
      <c r="R39" s="47" t="n"/>
      <c r="S39" s="47" t="n"/>
      <c r="T39" s="47" t="n"/>
      <c r="U39" s="47" t="n"/>
      <c r="V39" s="47" t="n"/>
      <c r="W39" s="47" t="n"/>
      <c r="X39" s="47" t="n"/>
      <c r="Y39" s="47" t="n"/>
      <c r="Z39" s="47" t="n"/>
      <c r="AA39" s="47" t="n"/>
      <c r="AB39" s="47" t="n"/>
      <c r="AC39" s="47" t="n"/>
      <c r="AD39" s="47" t="n"/>
      <c r="AE39" s="47" t="n"/>
      <c r="AF39" s="1" t="n"/>
      <c r="AG39" s="47" t="n"/>
    </row>
    <row r="40" ht="15.95" customHeight="1" s="27">
      <c r="A40" s="23" t="inlineStr">
        <is>
          <t>HSA428</t>
        </is>
      </c>
      <c r="B40" s="66">
        <f>底座!H26</f>
        <v/>
      </c>
      <c r="C40" s="66">
        <f>工作台!J15</f>
        <v/>
      </c>
      <c r="D40" s="66" t="n">
        <v>0</v>
      </c>
      <c r="E40" s="66" t="n"/>
      <c r="F40" s="66" t="n"/>
      <c r="G40" s="65" t="n"/>
      <c r="H40" s="47" t="n"/>
      <c r="I40" s="47" t="n"/>
      <c r="J40" s="47" t="n"/>
      <c r="K40" s="47" t="n"/>
      <c r="L40" s="47" t="n"/>
      <c r="M40" s="47" t="n"/>
      <c r="N40" s="47" t="n"/>
      <c r="O40" s="47" t="n"/>
      <c r="P40" s="47" t="n"/>
      <c r="Q40" s="47" t="n"/>
      <c r="R40" s="47" t="n"/>
      <c r="S40" s="47" t="n"/>
      <c r="T40" s="47" t="n"/>
      <c r="U40" s="47" t="n"/>
      <c r="V40" s="47" t="n"/>
      <c r="W40" s="47" t="n"/>
      <c r="X40" s="47" t="n"/>
      <c r="Y40" s="47" t="n"/>
      <c r="Z40" s="47" t="n"/>
      <c r="AA40" s="47" t="n"/>
      <c r="AB40" s="47" t="n"/>
      <c r="AC40" s="47" t="n"/>
      <c r="AD40" s="47" t="n"/>
      <c r="AE40" s="47" t="n"/>
      <c r="AF40" s="1" t="n"/>
      <c r="AG40" s="47" t="n"/>
    </row>
    <row r="41" ht="15.95" customHeight="1" s="27">
      <c r="A41" s="23" t="inlineStr">
        <is>
          <t>HSA4320</t>
        </is>
      </c>
      <c r="B41" s="66">
        <f>底座!#REF!</f>
        <v/>
      </c>
      <c r="C41" s="66">
        <f>工作台!#REF!</f>
        <v/>
      </c>
      <c r="D41" s="66">
        <f>橫樑!#REF!</f>
        <v/>
      </c>
      <c r="E41" s="66" t="n"/>
      <c r="F41" s="66" t="n"/>
      <c r="G41" s="65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47" t="n"/>
      <c r="T41" s="47" t="n"/>
      <c r="U41" s="47" t="n"/>
      <c r="V41" s="47" t="n"/>
      <c r="W41" s="47" t="n"/>
      <c r="X41" s="47" t="n"/>
      <c r="Y41" s="47" t="n"/>
      <c r="Z41" s="47" t="n"/>
      <c r="AA41" s="47" t="n"/>
      <c r="AB41" s="47" t="n"/>
      <c r="AC41" s="47" t="n"/>
      <c r="AD41" s="47" t="n"/>
      <c r="AE41" s="47" t="n"/>
      <c r="AF41" s="1" t="n"/>
      <c r="AG41" s="47" t="n"/>
    </row>
    <row r="42" ht="15.95" customHeight="1" s="27">
      <c r="A42" s="23" t="inlineStr">
        <is>
          <t>HSA436</t>
        </is>
      </c>
      <c r="B42" s="66">
        <f>底座!#REF!</f>
        <v/>
      </c>
      <c r="C42" s="66">
        <f>工作台!J17</f>
        <v/>
      </c>
      <c r="D42" s="66" t="n">
        <v>0</v>
      </c>
      <c r="E42" s="66" t="n"/>
      <c r="F42" s="66" t="n"/>
      <c r="G42" s="65" t="n"/>
      <c r="H42" s="47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47" t="n"/>
      <c r="T42" s="47" t="n"/>
      <c r="U42" s="47" t="n"/>
      <c r="V42" s="47" t="n"/>
      <c r="W42" s="47" t="n"/>
      <c r="X42" s="47" t="n"/>
      <c r="Y42" s="47" t="n"/>
      <c r="Z42" s="47" t="n"/>
      <c r="AA42" s="47" t="n"/>
      <c r="AB42" s="47" t="n"/>
      <c r="AC42" s="47" t="n"/>
      <c r="AD42" s="47" t="n"/>
      <c r="AE42" s="47" t="n"/>
      <c r="AF42" s="1" t="n"/>
      <c r="AG42" s="47" t="n"/>
    </row>
    <row r="43" ht="15.95" customHeight="1" s="27">
      <c r="A43" s="22" t="inlineStr">
        <is>
          <t>HSA-523</t>
        </is>
      </c>
      <c r="B43" s="66">
        <f>底座!H27</f>
        <v/>
      </c>
      <c r="C43" s="66">
        <f>工作台!J18</f>
        <v/>
      </c>
      <c r="D43" s="66" t="n">
        <v>0</v>
      </c>
      <c r="E43" s="66" t="n"/>
      <c r="F43" s="66" t="n"/>
      <c r="G43" s="65" t="n"/>
      <c r="H43" s="47" t="n"/>
      <c r="I43" s="47" t="n"/>
      <c r="J43" s="47" t="n"/>
      <c r="K43" s="47" t="n"/>
      <c r="L43" s="47" t="n"/>
      <c r="M43" s="47" t="n"/>
      <c r="N43" s="47" t="n"/>
      <c r="O43" s="47" t="n"/>
      <c r="P43" s="47" t="n"/>
      <c r="Q43" s="47" t="n"/>
      <c r="R43" s="47" t="n"/>
      <c r="S43" s="47" t="n"/>
      <c r="T43" s="47" t="n"/>
      <c r="U43" s="47" t="n"/>
      <c r="V43" s="47" t="n"/>
      <c r="W43" s="47" t="n"/>
      <c r="X43" s="47" t="n"/>
      <c r="Y43" s="47" t="n"/>
      <c r="Z43" s="47" t="n"/>
      <c r="AA43" s="47" t="n"/>
      <c r="AB43" s="47" t="n"/>
      <c r="AC43" s="47" t="n"/>
      <c r="AD43" s="47" t="n"/>
      <c r="AE43" s="47" t="n"/>
      <c r="AF43" s="1" t="n"/>
      <c r="AG43" s="47" t="n"/>
    </row>
    <row r="44" ht="15.95" customHeight="1" s="27">
      <c r="A44" s="22" t="inlineStr">
        <is>
          <t>HSA-527</t>
        </is>
      </c>
      <c r="B44" s="66">
        <f>底座!H28</f>
        <v/>
      </c>
      <c r="C44" s="66" t="n"/>
      <c r="D44" s="66" t="n"/>
      <c r="E44" s="66" t="n"/>
      <c r="F44" s="66" t="n"/>
      <c r="G44" s="65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  <c r="R44" s="47" t="n"/>
      <c r="S44" s="47" t="n"/>
      <c r="T44" s="47" t="n"/>
      <c r="U44" s="47" t="n"/>
      <c r="V44" s="47" t="n"/>
      <c r="W44" s="47" t="n"/>
      <c r="X44" s="47" t="n"/>
      <c r="Y44" s="47" t="n"/>
      <c r="Z44" s="47" t="n"/>
      <c r="AA44" s="47" t="n"/>
      <c r="AB44" s="47" t="n"/>
      <c r="AC44" s="47" t="n"/>
      <c r="AD44" s="47" t="n"/>
      <c r="AE44" s="47" t="n"/>
      <c r="AF44" s="1" t="n"/>
      <c r="AG44" s="47" t="n"/>
    </row>
    <row r="45" ht="15.95" customHeight="1" s="27">
      <c r="A45" s="23" t="inlineStr">
        <is>
          <t>HSA528</t>
        </is>
      </c>
      <c r="B45" s="66">
        <f>底座!H29</f>
        <v/>
      </c>
      <c r="C45" s="66">
        <f>工作台!J19</f>
        <v/>
      </c>
      <c r="D45" s="66" t="n">
        <v>0</v>
      </c>
      <c r="E45" s="66" t="n"/>
      <c r="F45" s="66" t="n"/>
      <c r="G45" s="65" t="n"/>
      <c r="H45" s="47" t="n"/>
      <c r="I45" s="47" t="n"/>
      <c r="J45" s="47" t="n"/>
      <c r="K45" s="47" t="n"/>
      <c r="L45" s="47" t="n"/>
      <c r="M45" s="47" t="n"/>
      <c r="N45" s="47" t="n"/>
      <c r="O45" s="47" t="n"/>
      <c r="P45" s="47" t="n"/>
      <c r="Q45" s="47" t="n"/>
      <c r="R45" s="47" t="n"/>
      <c r="S45" s="47" t="n"/>
      <c r="T45" s="47" t="n"/>
      <c r="U45" s="47" t="n"/>
      <c r="V45" s="47" t="n"/>
      <c r="W45" s="47" t="n"/>
      <c r="X45" s="47" t="n"/>
      <c r="Y45" s="47" t="n"/>
      <c r="Z45" s="47" t="n"/>
      <c r="AA45" s="47" t="n"/>
      <c r="AB45" s="47" t="n"/>
      <c r="AC45" s="47" t="n"/>
      <c r="AD45" s="47" t="n"/>
      <c r="AE45" s="47" t="n"/>
      <c r="AF45" s="1" t="n"/>
      <c r="AG45" s="47" t="n"/>
    </row>
    <row r="46" ht="15.95" customHeight="1" s="27">
      <c r="A46" s="23" t="inlineStr">
        <is>
          <t>HSA536</t>
        </is>
      </c>
      <c r="B46" s="72">
        <f>底座!H30</f>
        <v/>
      </c>
      <c r="C46" s="66">
        <f>工作台!J20</f>
        <v/>
      </c>
      <c r="D46" s="66" t="n">
        <v>0</v>
      </c>
      <c r="E46" s="66" t="n"/>
      <c r="F46" s="66" t="n"/>
      <c r="G46" s="65" t="n"/>
      <c r="H46" s="47" t="n"/>
      <c r="I46" s="47" t="n"/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47" t="n"/>
      <c r="T46" s="47" t="n"/>
      <c r="U46" s="47" t="n"/>
      <c r="V46" s="47" t="n"/>
      <c r="W46" s="47" t="n"/>
      <c r="X46" s="47" t="n"/>
      <c r="Y46" s="47" t="n"/>
      <c r="Z46" s="47" t="n"/>
      <c r="AA46" s="47" t="n"/>
      <c r="AB46" s="47" t="n"/>
      <c r="AC46" s="47" t="n"/>
      <c r="AD46" s="47" t="n"/>
      <c r="AE46" s="47" t="n"/>
      <c r="AF46" s="1" t="n"/>
      <c r="AG46" s="47" t="n"/>
    </row>
    <row r="47" ht="15.95" customHeight="1" s="27">
      <c r="A47" s="22" t="inlineStr">
        <is>
          <t>HSA-623主底座</t>
        </is>
      </c>
      <c r="B47" s="66">
        <f>底座!H31</f>
        <v/>
      </c>
      <c r="C47" s="66">
        <f>工作台!J21</f>
        <v/>
      </c>
      <c r="D47" s="66" t="n">
        <v>0</v>
      </c>
      <c r="E47" s="66" t="n"/>
      <c r="F47" s="66" t="n"/>
      <c r="G47" s="65" t="n"/>
      <c r="H47" s="47" t="n"/>
      <c r="I47" s="47" t="n"/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S47" s="47" t="n"/>
      <c r="T47" s="47" t="n"/>
      <c r="U47" s="47" t="n"/>
      <c r="V47" s="47" t="n"/>
      <c r="W47" s="47" t="n"/>
      <c r="X47" s="47" t="n"/>
      <c r="Y47" s="47" t="n"/>
      <c r="Z47" s="47" t="n"/>
      <c r="AA47" s="47" t="n"/>
      <c r="AB47" s="47" t="n"/>
      <c r="AC47" s="47" t="n"/>
      <c r="AD47" s="47" t="n"/>
      <c r="AE47" s="47" t="n"/>
      <c r="AF47" s="1" t="n"/>
      <c r="AG47" s="47" t="n"/>
    </row>
    <row r="48" ht="15.95" customHeight="1" s="27">
      <c r="A48" s="22" t="inlineStr">
        <is>
          <t>HSA-623副底座</t>
        </is>
      </c>
      <c r="B48" s="66">
        <f>底座!H32</f>
        <v/>
      </c>
      <c r="C48" s="66" t="n"/>
      <c r="D48" s="66" t="n"/>
      <c r="E48" s="66" t="n"/>
      <c r="F48" s="66" t="n"/>
      <c r="G48" s="65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47" t="n"/>
      <c r="T48" s="47" t="n"/>
      <c r="U48" s="47" t="n"/>
      <c r="V48" s="47" t="n"/>
      <c r="W48" s="47" t="n"/>
      <c r="X48" s="47" t="n"/>
      <c r="Y48" s="47" t="n"/>
      <c r="Z48" s="47" t="n"/>
      <c r="AA48" s="47" t="n"/>
      <c r="AB48" s="47" t="n"/>
      <c r="AC48" s="47" t="n"/>
      <c r="AD48" s="47" t="n"/>
      <c r="AE48" s="47" t="n"/>
      <c r="AF48" s="1" t="n"/>
      <c r="AG48" s="47" t="n"/>
    </row>
    <row r="49" ht="15.95" customHeight="1" s="27">
      <c r="A49" s="23" t="inlineStr">
        <is>
          <t>HSA-627主底座</t>
        </is>
      </c>
      <c r="B49" s="66">
        <f>底座!H33</f>
        <v/>
      </c>
      <c r="C49" s="66" t="n"/>
      <c r="D49" s="66" t="n"/>
      <c r="E49" s="66" t="n"/>
      <c r="F49" s="66" t="n"/>
      <c r="G49" s="65" t="n"/>
      <c r="H49" s="47" t="n"/>
      <c r="I49" s="47" t="n"/>
      <c r="J49" s="47" t="n"/>
      <c r="K49" s="47" t="n"/>
      <c r="L49" s="47" t="n"/>
      <c r="M49" s="47" t="n"/>
      <c r="N49" s="47" t="n"/>
      <c r="O49" s="47" t="n"/>
      <c r="P49" s="47" t="n"/>
      <c r="Q49" s="47" t="n"/>
      <c r="R49" s="47" t="n"/>
      <c r="S49" s="47" t="n"/>
      <c r="T49" s="47" t="n"/>
      <c r="U49" s="47" t="n"/>
      <c r="V49" s="47" t="n"/>
      <c r="W49" s="47" t="n"/>
      <c r="X49" s="47" t="n"/>
      <c r="Y49" s="47" t="n"/>
      <c r="Z49" s="47" t="n"/>
      <c r="AA49" s="47" t="n"/>
      <c r="AB49" s="47" t="n"/>
      <c r="AC49" s="47" t="n"/>
      <c r="AD49" s="47" t="n"/>
      <c r="AE49" s="47" t="n"/>
      <c r="AF49" s="1" t="n"/>
      <c r="AG49" s="47" t="n"/>
    </row>
    <row r="50" ht="15.95" customHeight="1" s="27">
      <c r="A50" s="23" t="inlineStr">
        <is>
          <t>HSA-627副底座</t>
        </is>
      </c>
      <c r="B50" s="66">
        <f>底座!H34</f>
        <v/>
      </c>
      <c r="C50" s="66" t="n"/>
      <c r="D50" s="66" t="n"/>
      <c r="E50" s="66" t="n"/>
      <c r="F50" s="66" t="n"/>
      <c r="G50" s="65" t="n"/>
      <c r="H50" s="47" t="n"/>
      <c r="I50" s="47" t="n"/>
      <c r="J50" s="47" t="n"/>
      <c r="K50" s="47" t="n"/>
      <c r="L50" s="47" t="n"/>
      <c r="M50" s="47" t="n"/>
      <c r="N50" s="47" t="n"/>
      <c r="O50" s="47" t="n"/>
      <c r="P50" s="47" t="n"/>
      <c r="Q50" s="47" t="n"/>
      <c r="R50" s="47" t="n"/>
      <c r="S50" s="47" t="n"/>
      <c r="T50" s="47" t="n"/>
      <c r="U50" s="47" t="n"/>
      <c r="V50" s="47" t="n"/>
      <c r="W50" s="47" t="n"/>
      <c r="X50" s="47" t="n"/>
      <c r="Y50" s="47" t="n"/>
      <c r="Z50" s="47" t="n"/>
      <c r="AA50" s="47" t="n"/>
      <c r="AB50" s="47" t="n"/>
      <c r="AC50" s="47" t="n"/>
      <c r="AD50" s="47" t="n"/>
      <c r="AE50" s="47" t="n"/>
      <c r="AF50" s="1" t="n"/>
      <c r="AG50" s="47" t="n"/>
    </row>
    <row r="51" ht="15.95" customHeight="1" s="27">
      <c r="A51" s="23" t="inlineStr">
        <is>
          <t>HSA-628主底座</t>
        </is>
      </c>
      <c r="B51" s="66">
        <f>底座!H35</f>
        <v/>
      </c>
      <c r="C51" s="66">
        <f>工作台!J22</f>
        <v/>
      </c>
      <c r="D51" s="66" t="n">
        <v>0</v>
      </c>
      <c r="E51" s="66" t="n"/>
      <c r="F51" s="66" t="n"/>
      <c r="G51" s="65" t="n"/>
      <c r="H51" s="47" t="n"/>
      <c r="I51" s="47" t="n"/>
      <c r="J51" s="47" t="n"/>
      <c r="K51" s="47" t="n"/>
      <c r="L51" s="47" t="n"/>
      <c r="M51" s="47" t="n"/>
      <c r="N51" s="47" t="n"/>
      <c r="O51" s="47" t="n"/>
      <c r="P51" s="47" t="n"/>
      <c r="Q51" s="47" t="n"/>
      <c r="R51" s="47" t="n"/>
      <c r="S51" s="47" t="n"/>
      <c r="T51" s="47" t="n"/>
      <c r="U51" s="47" t="n"/>
      <c r="V51" s="47" t="n"/>
      <c r="W51" s="47" t="n"/>
      <c r="X51" s="47" t="n"/>
      <c r="Y51" s="47" t="n"/>
      <c r="Z51" s="47" t="n"/>
      <c r="AA51" s="47" t="n"/>
      <c r="AB51" s="47" t="n"/>
      <c r="AC51" s="47" t="n"/>
      <c r="AD51" s="47" t="n"/>
      <c r="AE51" s="47" t="n"/>
      <c r="AF51" s="1" t="n"/>
      <c r="AG51" s="47" t="n"/>
    </row>
    <row r="52" ht="15.95" customHeight="1" s="27">
      <c r="A52" s="23" t="inlineStr">
        <is>
          <t>HSA-628副底座</t>
        </is>
      </c>
      <c r="B52" s="66">
        <f>底座!H36</f>
        <v/>
      </c>
      <c r="C52" s="66" t="n"/>
      <c r="D52" s="66" t="n">
        <v>0</v>
      </c>
      <c r="E52" s="66" t="n"/>
      <c r="F52" s="66" t="n"/>
      <c r="G52" s="65" t="n"/>
      <c r="H52" s="47" t="n"/>
      <c r="I52" s="47" t="n"/>
      <c r="J52" s="47" t="n"/>
      <c r="K52" s="47" t="n"/>
      <c r="L52" s="47" t="n"/>
      <c r="M52" s="47" t="n"/>
      <c r="N52" s="47" t="n"/>
      <c r="O52" s="47" t="n"/>
      <c r="P52" s="47" t="n"/>
      <c r="Q52" s="47" t="n"/>
      <c r="R52" s="47" t="n"/>
      <c r="S52" s="47" t="n"/>
      <c r="T52" s="47" t="n"/>
      <c r="U52" s="47" t="n"/>
      <c r="V52" s="47" t="n"/>
      <c r="W52" s="47" t="n"/>
      <c r="X52" s="47" t="n"/>
      <c r="Y52" s="47" t="n"/>
      <c r="Z52" s="47" t="n"/>
      <c r="AA52" s="47" t="n"/>
      <c r="AB52" s="47" t="n"/>
      <c r="AC52" s="47" t="n"/>
      <c r="AD52" s="47" t="n"/>
      <c r="AE52" s="47" t="n"/>
      <c r="AF52" s="1" t="n"/>
      <c r="AG52" s="47" t="n"/>
    </row>
    <row r="53" ht="15.95" customHeight="1" s="27">
      <c r="A53" s="23" t="inlineStr">
        <is>
          <t>HSA-636主底座</t>
        </is>
      </c>
      <c r="B53" s="66">
        <f>底座!H37</f>
        <v/>
      </c>
      <c r="C53" s="66" t="n"/>
      <c r="D53" s="66" t="n"/>
      <c r="E53" s="66" t="n"/>
      <c r="F53" s="66" t="n"/>
      <c r="G53" s="65" t="n"/>
      <c r="H53" s="47" t="n"/>
      <c r="I53" s="47" t="n"/>
      <c r="J53" s="47" t="n"/>
      <c r="K53" s="47" t="n"/>
      <c r="L53" s="47" t="n"/>
      <c r="M53" s="47" t="n"/>
      <c r="N53" s="47" t="n"/>
      <c r="O53" s="47" t="n"/>
      <c r="P53" s="47" t="n"/>
      <c r="Q53" s="47" t="n"/>
      <c r="R53" s="47" t="n"/>
      <c r="S53" s="47" t="n"/>
      <c r="T53" s="47" t="n"/>
      <c r="U53" s="47" t="n"/>
      <c r="V53" s="47" t="n"/>
      <c r="W53" s="47" t="n"/>
      <c r="X53" s="47" t="n"/>
      <c r="Y53" s="47" t="n"/>
      <c r="Z53" s="47" t="n"/>
      <c r="AA53" s="47" t="n"/>
      <c r="AB53" s="47" t="n"/>
      <c r="AC53" s="47" t="n"/>
      <c r="AD53" s="47" t="n"/>
      <c r="AE53" s="47" t="n"/>
      <c r="AF53" s="1" t="n"/>
      <c r="AG53" s="47" t="n"/>
    </row>
    <row r="54" ht="15.95" customHeight="1" s="27">
      <c r="A54" s="23" t="inlineStr">
        <is>
          <t>HSA-636副底座</t>
        </is>
      </c>
      <c r="B54" s="66">
        <f>底座!H38</f>
        <v/>
      </c>
      <c r="C54" s="66" t="n"/>
      <c r="D54" s="66" t="n"/>
      <c r="E54" s="66" t="n"/>
      <c r="F54" s="66" t="n"/>
      <c r="G54" s="65" t="n"/>
      <c r="H54" s="47" t="n"/>
      <c r="I54" s="47" t="n"/>
      <c r="J54" s="47" t="n"/>
      <c r="K54" s="47" t="n"/>
      <c r="L54" s="47" t="n"/>
      <c r="M54" s="47" t="n"/>
      <c r="N54" s="47" t="n"/>
      <c r="O54" s="47" t="n"/>
      <c r="P54" s="47" t="n"/>
      <c r="Q54" s="47" t="n"/>
      <c r="R54" s="47" t="n"/>
      <c r="S54" s="47" t="n"/>
      <c r="T54" s="47" t="n"/>
      <c r="U54" s="47" t="n"/>
      <c r="V54" s="47" t="n"/>
      <c r="W54" s="47" t="n"/>
      <c r="X54" s="47" t="n"/>
      <c r="Y54" s="47" t="n"/>
      <c r="Z54" s="47" t="n"/>
      <c r="AA54" s="47" t="n"/>
      <c r="AB54" s="47" t="n"/>
      <c r="AC54" s="47" t="n"/>
      <c r="AD54" s="47" t="n"/>
      <c r="AE54" s="47" t="n"/>
      <c r="AF54" s="1" t="n"/>
      <c r="AG54" s="47" t="n"/>
    </row>
    <row r="55" ht="15.95" customHeight="1" s="27">
      <c r="A55" s="23" t="inlineStr">
        <is>
          <t>HSA-636</t>
        </is>
      </c>
      <c r="B55" s="72">
        <f>底座!#REF!</f>
        <v/>
      </c>
      <c r="C55" s="66">
        <f>工作台!J23</f>
        <v/>
      </c>
      <c r="D55" s="66" t="n">
        <v>0</v>
      </c>
      <c r="E55" s="66" t="n"/>
      <c r="F55" s="66" t="n"/>
      <c r="G55" s="65" t="n"/>
      <c r="H55" s="47" t="n"/>
      <c r="I55" s="47" t="n"/>
      <c r="J55" s="47" t="n"/>
      <c r="K55" s="47" t="n"/>
      <c r="L55" s="47" t="n"/>
      <c r="M55" s="47" t="n"/>
      <c r="N55" s="47" t="n"/>
      <c r="O55" s="47" t="n"/>
      <c r="P55" s="47" t="n"/>
      <c r="Q55" s="47" t="n"/>
      <c r="R55" s="47" t="n"/>
      <c r="S55" s="47" t="n"/>
      <c r="T55" s="47" t="n"/>
      <c r="U55" s="47" t="n"/>
      <c r="V55" s="47" t="n"/>
      <c r="W55" s="47" t="n"/>
      <c r="X55" s="47" t="n"/>
      <c r="Y55" s="47" t="n"/>
      <c r="Z55" s="47" t="n"/>
      <c r="AA55" s="47" t="n"/>
      <c r="AB55" s="47" t="n"/>
      <c r="AC55" s="47" t="n"/>
      <c r="AD55" s="47" t="n"/>
      <c r="AE55" s="47" t="n"/>
      <c r="AF55" s="1" t="n"/>
      <c r="AG55" s="47" t="n"/>
    </row>
    <row r="56" ht="15.95" customHeight="1" s="27">
      <c r="A56" s="22" t="inlineStr">
        <is>
          <t>HSA-728</t>
        </is>
      </c>
      <c r="B56" s="66" t="n">
        <v>0</v>
      </c>
      <c r="C56" s="66">
        <f>工作台!J24</f>
        <v/>
      </c>
      <c r="D56" s="66" t="n">
        <v>0</v>
      </c>
      <c r="E56" s="66" t="n"/>
      <c r="F56" s="66" t="n"/>
      <c r="G56" s="65" t="n"/>
      <c r="H56" s="47" t="n"/>
      <c r="I56" s="47" t="n"/>
      <c r="J56" s="47" t="n"/>
      <c r="K56" s="47" t="n"/>
      <c r="L56" s="47" t="n"/>
      <c r="M56" s="47" t="n"/>
      <c r="N56" s="47" t="n"/>
      <c r="O56" s="47" t="n"/>
      <c r="P56" s="47" t="n"/>
      <c r="Q56" s="47" t="n"/>
      <c r="R56" s="47" t="n"/>
      <c r="S56" s="47" t="n"/>
      <c r="T56" s="47" t="n"/>
      <c r="U56" s="47" t="n"/>
      <c r="V56" s="47" t="n"/>
      <c r="W56" s="47" t="n"/>
      <c r="X56" s="47" t="n"/>
      <c r="Y56" s="47" t="n"/>
      <c r="Z56" s="47" t="n"/>
      <c r="AA56" s="47" t="n"/>
      <c r="AB56" s="47" t="n"/>
      <c r="AC56" s="47" t="n"/>
      <c r="AD56" s="47" t="n"/>
      <c r="AE56" s="47" t="n"/>
      <c r="AF56" s="1" t="n"/>
      <c r="AG56" s="47" t="n"/>
    </row>
    <row r="57" ht="15.95" customHeight="1" s="27">
      <c r="A57" s="22" t="inlineStr">
        <is>
          <t>HSA-728主底座</t>
        </is>
      </c>
      <c r="B57" s="66">
        <f>底座!H39</f>
        <v/>
      </c>
      <c r="C57" s="66" t="n"/>
      <c r="D57" s="66" t="n"/>
      <c r="E57" s="66" t="n"/>
      <c r="F57" s="66" t="n"/>
      <c r="G57" s="65" t="n"/>
      <c r="H57" s="47" t="n"/>
      <c r="I57" s="47" t="n"/>
      <c r="J57" s="47" t="n"/>
      <c r="K57" s="47" t="n"/>
      <c r="L57" s="47" t="n"/>
      <c r="M57" s="47" t="n"/>
      <c r="N57" s="47" t="n"/>
      <c r="O57" s="47" t="n"/>
      <c r="P57" s="47" t="n"/>
      <c r="Q57" s="47" t="n"/>
      <c r="R57" s="47" t="n"/>
      <c r="S57" s="47" t="n"/>
      <c r="T57" s="47" t="n"/>
      <c r="U57" s="47" t="n"/>
      <c r="V57" s="47" t="n"/>
      <c r="W57" s="47" t="n"/>
      <c r="X57" s="47" t="n"/>
      <c r="Y57" s="47" t="n"/>
      <c r="Z57" s="47" t="n"/>
      <c r="AA57" s="47" t="n"/>
      <c r="AB57" s="47" t="n"/>
      <c r="AC57" s="47" t="n"/>
      <c r="AD57" s="47" t="n"/>
      <c r="AE57" s="47" t="n"/>
      <c r="AF57" s="1" t="n"/>
      <c r="AG57" s="47" t="n"/>
    </row>
    <row r="58" ht="15.95" customHeight="1" s="27">
      <c r="A58" s="22" t="inlineStr">
        <is>
          <t>HSA-728副底座</t>
        </is>
      </c>
      <c r="B58" s="66">
        <f>底座!H40</f>
        <v/>
      </c>
      <c r="C58" s="66" t="n"/>
      <c r="D58" s="66" t="n"/>
      <c r="E58" s="66" t="n"/>
      <c r="F58" s="66" t="n"/>
      <c r="G58" s="65" t="n"/>
      <c r="H58" s="47" t="n"/>
      <c r="I58" s="47" t="n"/>
      <c r="J58" s="47" t="n"/>
      <c r="K58" s="47" t="n"/>
      <c r="L58" s="47" t="n"/>
      <c r="M58" s="47" t="n"/>
      <c r="N58" s="47" t="n"/>
      <c r="O58" s="47" t="n"/>
      <c r="P58" s="47" t="n"/>
      <c r="Q58" s="47" t="n"/>
      <c r="R58" s="47" t="n"/>
      <c r="S58" s="47" t="n"/>
      <c r="T58" s="47" t="n"/>
      <c r="U58" s="47" t="n"/>
      <c r="V58" s="47" t="n"/>
      <c r="W58" s="47" t="n"/>
      <c r="X58" s="47" t="n"/>
      <c r="Y58" s="47" t="n"/>
      <c r="Z58" s="47" t="n"/>
      <c r="AA58" s="47" t="n"/>
      <c r="AB58" s="47" t="n"/>
      <c r="AC58" s="47" t="n"/>
      <c r="AD58" s="47" t="n"/>
      <c r="AE58" s="47" t="n"/>
      <c r="AF58" s="1" t="n"/>
      <c r="AG58" s="47" t="n"/>
    </row>
    <row r="59" ht="15.95" customHeight="1" s="27">
      <c r="A59" s="22" t="inlineStr">
        <is>
          <t>HSA-736</t>
        </is>
      </c>
      <c r="B59" s="66" t="n"/>
      <c r="C59" s="66">
        <f>工作台!J25</f>
        <v/>
      </c>
      <c r="D59" s="66" t="n"/>
      <c r="E59" s="66" t="n"/>
      <c r="F59" s="66" t="n"/>
      <c r="G59" s="65" t="n"/>
      <c r="H59" s="47" t="n"/>
      <c r="I59" s="47" t="n"/>
      <c r="J59" s="47" t="n"/>
      <c r="K59" s="47" t="n"/>
      <c r="L59" s="47" t="n"/>
      <c r="M59" s="47" t="n"/>
      <c r="N59" s="47" t="n"/>
      <c r="O59" s="47" t="n"/>
      <c r="P59" s="47" t="n"/>
      <c r="Q59" s="47" t="n"/>
      <c r="R59" s="47" t="n"/>
      <c r="S59" s="47" t="n"/>
      <c r="T59" s="47" t="n"/>
      <c r="U59" s="47" t="n"/>
      <c r="V59" s="47" t="n"/>
      <c r="W59" s="47" t="n"/>
      <c r="X59" s="47" t="n"/>
      <c r="Y59" s="47" t="n"/>
      <c r="Z59" s="47" t="n"/>
      <c r="AA59" s="47" t="n"/>
      <c r="AB59" s="47" t="n"/>
      <c r="AC59" s="47" t="n"/>
      <c r="AD59" s="47" t="n"/>
      <c r="AE59" s="47" t="n"/>
      <c r="AF59" s="1" t="n"/>
      <c r="AG59" s="47" t="n"/>
    </row>
    <row r="60" ht="15.95" customHeight="1" s="27">
      <c r="A60" s="23" t="inlineStr">
        <is>
          <t>HSA-736主底座</t>
        </is>
      </c>
      <c r="B60" s="66">
        <f>底座!H41</f>
        <v/>
      </c>
      <c r="C60" s="66" t="n"/>
      <c r="D60" s="66" t="n"/>
      <c r="E60" s="66" t="n"/>
      <c r="F60" s="66" t="n"/>
      <c r="G60" s="65" t="n"/>
      <c r="H60" s="47" t="n"/>
      <c r="I60" s="47" t="n"/>
      <c r="J60" s="47" t="n"/>
      <c r="K60" s="47" t="n"/>
      <c r="L60" s="47" t="n"/>
      <c r="M60" s="47" t="n"/>
      <c r="N60" s="47" t="n"/>
      <c r="O60" s="47" t="n"/>
      <c r="P60" s="47" t="n"/>
      <c r="Q60" s="47" t="n"/>
      <c r="R60" s="47" t="n"/>
      <c r="S60" s="47" t="n"/>
      <c r="T60" s="47" t="n"/>
      <c r="U60" s="47" t="n"/>
      <c r="V60" s="47" t="n"/>
      <c r="W60" s="47" t="n"/>
      <c r="X60" s="47" t="n"/>
      <c r="Y60" s="47" t="n"/>
      <c r="Z60" s="47" t="n"/>
      <c r="AA60" s="47" t="n"/>
      <c r="AB60" s="47" t="n"/>
      <c r="AC60" s="47" t="n"/>
      <c r="AD60" s="47" t="n"/>
      <c r="AE60" s="47" t="n"/>
      <c r="AF60" s="1" t="n"/>
      <c r="AG60" s="47" t="n"/>
    </row>
    <row r="61" ht="15.95" customHeight="1" s="27">
      <c r="A61" s="23" t="inlineStr">
        <is>
          <t>HSA-736副底座</t>
        </is>
      </c>
      <c r="B61" s="66">
        <f>底座!H42</f>
        <v/>
      </c>
      <c r="C61" s="66" t="n"/>
      <c r="D61" s="66" t="n"/>
      <c r="E61" s="66" t="n"/>
      <c r="F61" s="66" t="n"/>
      <c r="G61" s="65" t="n"/>
      <c r="H61" s="47" t="n"/>
      <c r="I61" s="47" t="n"/>
      <c r="J61" s="47" t="n"/>
      <c r="K61" s="47" t="n"/>
      <c r="L61" s="47" t="n"/>
      <c r="M61" s="47" t="n"/>
      <c r="N61" s="47" t="n"/>
      <c r="O61" s="47" t="n"/>
      <c r="P61" s="47" t="n"/>
      <c r="Q61" s="47" t="n"/>
      <c r="R61" s="47" t="n"/>
      <c r="S61" s="47" t="n"/>
      <c r="T61" s="47" t="n"/>
      <c r="U61" s="47" t="n"/>
      <c r="V61" s="47" t="n"/>
      <c r="W61" s="47" t="n"/>
      <c r="X61" s="47" t="n"/>
      <c r="Y61" s="47" t="n"/>
      <c r="Z61" s="47" t="n"/>
      <c r="AA61" s="47" t="n"/>
      <c r="AB61" s="47" t="n"/>
      <c r="AC61" s="47" t="n"/>
      <c r="AD61" s="47" t="n"/>
      <c r="AE61" s="47" t="n"/>
      <c r="AF61" s="1" t="n"/>
      <c r="AG61" s="47" t="n"/>
    </row>
    <row r="62" ht="15.95" customHeight="1" s="27">
      <c r="A62" s="22" t="inlineStr">
        <is>
          <t>HSA-X20</t>
        </is>
      </c>
      <c r="B62" s="66" t="n"/>
      <c r="C62" s="66" t="n"/>
      <c r="D62" s="66">
        <f>橫樑!I8</f>
        <v/>
      </c>
      <c r="E62" s="66" t="n"/>
      <c r="F62" s="66" t="n"/>
      <c r="G62" s="65" t="n"/>
      <c r="H62" s="47" t="n"/>
      <c r="I62" s="47" t="n"/>
      <c r="J62" s="47" t="n"/>
      <c r="K62" s="47" t="n"/>
      <c r="L62" s="47" t="n"/>
      <c r="M62" s="47" t="n"/>
      <c r="N62" s="47" t="n"/>
      <c r="O62" s="47" t="n"/>
      <c r="P62" s="47" t="n"/>
      <c r="Q62" s="47" t="n"/>
      <c r="R62" s="47" t="n"/>
      <c r="S62" s="47" t="n"/>
      <c r="T62" s="47" t="n"/>
      <c r="U62" s="47" t="n"/>
      <c r="V62" s="47" t="n"/>
      <c r="W62" s="47" t="n"/>
      <c r="X62" s="47" t="n"/>
      <c r="Y62" s="47" t="n"/>
      <c r="Z62" s="47" t="n"/>
      <c r="AA62" s="47" t="n"/>
      <c r="AB62" s="47" t="n"/>
      <c r="AC62" s="47" t="n"/>
      <c r="AD62" s="47" t="n"/>
      <c r="AE62" s="47" t="n"/>
      <c r="AF62" s="1" t="n"/>
      <c r="AG62" s="47" t="n"/>
    </row>
    <row r="63" ht="15.95" customHeight="1" s="27">
      <c r="A63" s="23" t="inlineStr">
        <is>
          <t>HSA-X20EAY</t>
        </is>
      </c>
      <c r="B63" s="66" t="n"/>
      <c r="C63" s="66" t="n"/>
      <c r="D63" s="66">
        <f>橫樑!I9</f>
        <v/>
      </c>
      <c r="E63" s="66" t="n"/>
      <c r="F63" s="66" t="n"/>
      <c r="G63" s="65" t="n"/>
      <c r="H63" s="47" t="n"/>
      <c r="I63" s="47" t="n"/>
      <c r="J63" s="47" t="n"/>
      <c r="K63" s="47" t="n"/>
      <c r="L63" s="47" t="n"/>
      <c r="M63" s="47" t="n"/>
      <c r="N63" s="47" t="n"/>
      <c r="O63" s="47" t="n"/>
      <c r="P63" s="47" t="n"/>
      <c r="Q63" s="47" t="n"/>
      <c r="R63" s="47" t="n"/>
      <c r="S63" s="47" t="n"/>
      <c r="T63" s="47" t="n"/>
      <c r="U63" s="47" t="n"/>
      <c r="V63" s="47" t="n"/>
      <c r="W63" s="47" t="n"/>
      <c r="X63" s="47" t="n"/>
      <c r="Y63" s="47" t="n"/>
      <c r="Z63" s="47" t="n"/>
      <c r="AA63" s="47" t="n"/>
      <c r="AB63" s="47" t="n"/>
      <c r="AC63" s="47" t="n"/>
      <c r="AD63" s="47" t="n"/>
      <c r="AE63" s="47" t="n"/>
      <c r="AF63" s="1" t="n"/>
      <c r="AG63" s="47" t="n"/>
    </row>
    <row r="64" ht="15.95" customHeight="1" s="27">
      <c r="A64" s="22" t="inlineStr">
        <is>
          <t>HSA-X23</t>
        </is>
      </c>
      <c r="B64" s="66" t="n"/>
      <c r="C64" s="66" t="n"/>
      <c r="D64" s="66">
        <f>橫樑!I10</f>
        <v/>
      </c>
      <c r="E64" s="66" t="n"/>
      <c r="F64" s="66" t="n"/>
      <c r="G64" s="65" t="n"/>
      <c r="H64" s="47" t="n"/>
      <c r="I64" s="47" t="n"/>
      <c r="J64" s="47" t="n"/>
      <c r="K64" s="47" t="n"/>
      <c r="L64" s="47" t="n"/>
      <c r="M64" s="47" t="n"/>
      <c r="N64" s="47" t="n"/>
      <c r="O64" s="47" t="n"/>
      <c r="P64" s="47" t="n"/>
      <c r="Q64" s="47" t="n"/>
      <c r="R64" s="47" t="n"/>
      <c r="S64" s="47" t="n"/>
      <c r="T64" s="47" t="n"/>
      <c r="U64" s="47" t="n"/>
      <c r="V64" s="47" t="n"/>
      <c r="W64" s="47" t="n"/>
      <c r="X64" s="47" t="n"/>
      <c r="Y64" s="47" t="n"/>
      <c r="Z64" s="47" t="n"/>
      <c r="AA64" s="47" t="n"/>
      <c r="AB64" s="47" t="n"/>
      <c r="AC64" s="47" t="n"/>
      <c r="AD64" s="47" t="n"/>
      <c r="AE64" s="47" t="n"/>
      <c r="AF64" s="1" t="n"/>
      <c r="AG64" s="47" t="n"/>
    </row>
    <row r="65" ht="15.95" customHeight="1" s="27">
      <c r="A65" s="22" t="inlineStr">
        <is>
          <t>HSA-X23EAY</t>
        </is>
      </c>
      <c r="B65" s="66" t="n"/>
      <c r="C65" s="66" t="n"/>
      <c r="D65" s="66">
        <f>橫樑!I11</f>
        <v/>
      </c>
      <c r="E65" s="66" t="n"/>
      <c r="F65" s="66" t="n"/>
      <c r="G65" s="65" t="n"/>
      <c r="H65" s="47" t="n"/>
      <c r="I65" s="47" t="n"/>
      <c r="J65" s="47" t="n"/>
      <c r="K65" s="47" t="n"/>
      <c r="L65" s="47" t="n"/>
      <c r="M65" s="47" t="n"/>
      <c r="N65" s="47" t="n"/>
      <c r="O65" s="47" t="n"/>
      <c r="P65" s="47" t="n"/>
      <c r="Q65" s="47" t="n"/>
      <c r="R65" s="47" t="n"/>
      <c r="S65" s="47" t="n"/>
      <c r="T65" s="47" t="n"/>
      <c r="U65" s="47" t="n"/>
      <c r="V65" s="47" t="n"/>
      <c r="W65" s="47" t="n"/>
      <c r="X65" s="47" t="n"/>
      <c r="Y65" s="47" t="n"/>
      <c r="Z65" s="47" t="n"/>
      <c r="AA65" s="47" t="n"/>
      <c r="AB65" s="47" t="n"/>
      <c r="AC65" s="47" t="n"/>
      <c r="AD65" s="47" t="n"/>
      <c r="AE65" s="47" t="n"/>
      <c r="AF65" s="1" t="n"/>
      <c r="AG65" s="47" t="n"/>
    </row>
    <row r="66" ht="15.95" customHeight="1" s="27">
      <c r="A66" s="22" t="inlineStr">
        <is>
          <t>HSA-X27</t>
        </is>
      </c>
      <c r="B66" s="66" t="n"/>
      <c r="C66" s="66" t="n"/>
      <c r="D66" s="66">
        <f>橫樑!I12</f>
        <v/>
      </c>
      <c r="E66" s="66" t="n"/>
      <c r="F66" s="66" t="n"/>
      <c r="G66" s="65" t="n"/>
      <c r="H66" s="47" t="n"/>
      <c r="I66" s="47" t="n"/>
      <c r="J66" s="47" t="n"/>
      <c r="K66" s="47" t="n"/>
      <c r="L66" s="47" t="n"/>
      <c r="M66" s="47" t="n"/>
      <c r="N66" s="47" t="n"/>
      <c r="O66" s="47" t="n"/>
      <c r="P66" s="47" t="n"/>
      <c r="Q66" s="47" t="n"/>
      <c r="R66" s="47" t="n"/>
      <c r="S66" s="47" t="n"/>
      <c r="T66" s="47" t="n"/>
      <c r="U66" s="47" t="n"/>
      <c r="V66" s="47" t="n"/>
      <c r="W66" s="47" t="n"/>
      <c r="X66" s="47" t="n"/>
      <c r="Y66" s="47" t="n"/>
      <c r="Z66" s="47" t="n"/>
      <c r="AA66" s="47" t="n"/>
      <c r="AB66" s="47" t="n"/>
      <c r="AC66" s="47" t="n"/>
      <c r="AD66" s="47" t="n"/>
      <c r="AE66" s="47" t="n"/>
      <c r="AF66" s="1" t="n"/>
      <c r="AG66" s="47" t="n"/>
    </row>
    <row r="67" ht="15.95" customHeight="1" s="27">
      <c r="A67" s="22" t="inlineStr">
        <is>
          <t>HSA-X27EAY</t>
        </is>
      </c>
      <c r="B67" s="66" t="n"/>
      <c r="C67" s="66" t="n"/>
      <c r="D67" s="66">
        <f>橫樑!I13</f>
        <v/>
      </c>
      <c r="E67" s="66" t="n"/>
      <c r="F67" s="66" t="n"/>
      <c r="G67" s="65" t="n"/>
      <c r="H67" s="47" t="n"/>
      <c r="I67" s="47" t="n"/>
      <c r="J67" s="47" t="n"/>
      <c r="K67" s="47" t="n"/>
      <c r="L67" s="47" t="n"/>
      <c r="M67" s="47" t="n"/>
      <c r="N67" s="47" t="n"/>
      <c r="O67" s="47" t="n"/>
      <c r="P67" s="47" t="n"/>
      <c r="Q67" s="47" t="n"/>
      <c r="R67" s="47" t="n"/>
      <c r="S67" s="47" t="n"/>
      <c r="T67" s="47" t="n"/>
      <c r="U67" s="47" t="n"/>
      <c r="V67" s="47" t="n"/>
      <c r="W67" s="47" t="n"/>
      <c r="X67" s="47" t="n"/>
      <c r="Y67" s="47" t="n"/>
      <c r="Z67" s="47" t="n"/>
      <c r="AA67" s="47" t="n"/>
      <c r="AB67" s="47" t="n"/>
      <c r="AC67" s="47" t="n"/>
      <c r="AD67" s="47" t="n"/>
      <c r="AE67" s="47" t="n"/>
      <c r="AF67" s="1" t="n"/>
      <c r="AG67" s="47" t="n"/>
    </row>
    <row r="68" ht="15.95" customHeight="1" s="27">
      <c r="A68" s="23" t="inlineStr">
        <is>
          <t>HSA-X32</t>
        </is>
      </c>
      <c r="B68" s="66" t="n"/>
      <c r="C68" s="66" t="n"/>
      <c r="D68" s="66">
        <f>橫樑!I14</f>
        <v/>
      </c>
      <c r="E68" s="66" t="n"/>
      <c r="F68" s="66" t="n"/>
      <c r="G68" s="65" t="n"/>
      <c r="H68" s="47" t="n"/>
      <c r="I68" s="47" t="n"/>
      <c r="J68" s="47" t="n"/>
      <c r="K68" s="47" t="n"/>
      <c r="L68" s="47" t="n"/>
      <c r="M68" s="47" t="n"/>
      <c r="N68" s="47" t="n"/>
      <c r="O68" s="47" t="n"/>
      <c r="P68" s="47" t="n"/>
      <c r="Q68" s="47" t="n"/>
      <c r="R68" s="47" t="n"/>
      <c r="S68" s="47" t="n"/>
      <c r="T68" s="47" t="n"/>
      <c r="U68" s="47" t="n"/>
      <c r="V68" s="47" t="n"/>
      <c r="W68" s="47" t="n"/>
      <c r="X68" s="47" t="n"/>
      <c r="Y68" s="47" t="n"/>
      <c r="Z68" s="47" t="n"/>
      <c r="AA68" s="47" t="n"/>
      <c r="AB68" s="47" t="n"/>
      <c r="AC68" s="47" t="n"/>
      <c r="AD68" s="47" t="n"/>
      <c r="AE68" s="47" t="n"/>
      <c r="AF68" s="1" t="n"/>
      <c r="AG68" s="47" t="n"/>
    </row>
    <row r="69" ht="15.95" customHeight="1" s="27">
      <c r="A69" s="23" t="inlineStr">
        <is>
          <t>HSA-X32EAY</t>
        </is>
      </c>
      <c r="B69" s="66" t="n"/>
      <c r="C69" s="66" t="n"/>
      <c r="D69" s="66">
        <f>橫樑!I15</f>
        <v/>
      </c>
      <c r="E69" s="66" t="n"/>
      <c r="F69" s="66" t="n"/>
      <c r="G69" s="65" t="n"/>
      <c r="H69" s="47" t="n"/>
      <c r="I69" s="47" t="n"/>
      <c r="J69" s="47" t="n"/>
      <c r="K69" s="47" t="n"/>
      <c r="L69" s="47" t="n"/>
      <c r="M69" s="47" t="n"/>
      <c r="N69" s="47" t="n"/>
      <c r="O69" s="47" t="n"/>
      <c r="P69" s="47" t="n"/>
      <c r="Q69" s="47" t="n"/>
      <c r="R69" s="47" t="n"/>
      <c r="S69" s="47" t="n"/>
      <c r="T69" s="47" t="n"/>
      <c r="U69" s="47" t="n"/>
      <c r="V69" s="47" t="n"/>
      <c r="W69" s="47" t="n"/>
      <c r="X69" s="47" t="n"/>
      <c r="Y69" s="47" t="n"/>
      <c r="Z69" s="47" t="n"/>
      <c r="AA69" s="47" t="n"/>
      <c r="AB69" s="47" t="n"/>
      <c r="AC69" s="47" t="n"/>
      <c r="AD69" s="47" t="n"/>
      <c r="AE69" s="47" t="n"/>
      <c r="AF69" s="1" t="n"/>
      <c r="AG69" s="47" t="n"/>
    </row>
    <row r="70" ht="15.95" customHeight="1" s="27">
      <c r="A70" s="23" t="inlineStr">
        <is>
          <t>HSA-X36</t>
        </is>
      </c>
      <c r="B70" s="66" t="n"/>
      <c r="C70" s="66" t="n"/>
      <c r="D70" s="66">
        <f>橫樑!I17</f>
        <v/>
      </c>
      <c r="E70" s="66" t="n"/>
      <c r="F70" s="66" t="n"/>
      <c r="G70" s="65" t="n"/>
      <c r="H70" s="47" t="n"/>
      <c r="I70" s="47" t="n"/>
      <c r="J70" s="47" t="n"/>
      <c r="K70" s="47" t="n"/>
      <c r="L70" s="47" t="n"/>
      <c r="M70" s="47" t="n"/>
      <c r="N70" s="47" t="n"/>
      <c r="O70" s="47" t="n"/>
      <c r="P70" s="47" t="n"/>
      <c r="Q70" s="47" t="n"/>
      <c r="R70" s="47" t="n"/>
      <c r="S70" s="47" t="n"/>
      <c r="T70" s="47" t="n"/>
      <c r="U70" s="47" t="n"/>
      <c r="V70" s="47" t="n"/>
      <c r="W70" s="47" t="n"/>
      <c r="X70" s="47" t="n"/>
      <c r="Y70" s="47" t="n"/>
      <c r="Z70" s="47" t="n"/>
      <c r="AA70" s="47" t="n"/>
      <c r="AB70" s="47" t="n"/>
      <c r="AC70" s="47" t="n"/>
      <c r="AD70" s="47" t="n"/>
      <c r="AE70" s="47" t="n"/>
      <c r="AF70" s="1" t="n"/>
      <c r="AG70" s="47" t="n"/>
    </row>
    <row r="71" ht="15.95" customHeight="1" s="27">
      <c r="A71" s="23" t="inlineStr">
        <is>
          <t>HSA-636-6200L</t>
        </is>
      </c>
      <c r="B71" s="66" t="n"/>
      <c r="C71" s="66" t="n"/>
      <c r="D71" s="66">
        <f>橫樑!#REF!</f>
        <v/>
      </c>
      <c r="E71" s="66" t="n"/>
      <c r="F71" s="66" t="n"/>
      <c r="G71" s="65" t="n"/>
      <c r="H71" s="47" t="n"/>
      <c r="I71" s="47" t="n"/>
      <c r="J71" s="47" t="n"/>
      <c r="K71" s="47" t="n"/>
      <c r="L71" s="47" t="n"/>
      <c r="M71" s="47" t="n"/>
      <c r="N71" s="47" t="n"/>
      <c r="O71" s="47" t="n"/>
      <c r="P71" s="47" t="n"/>
      <c r="Q71" s="47" t="n"/>
      <c r="R71" s="47" t="n"/>
      <c r="S71" s="47" t="n"/>
      <c r="T71" s="47" t="n"/>
      <c r="U71" s="47" t="n"/>
      <c r="V71" s="47" t="n"/>
      <c r="W71" s="47" t="n"/>
      <c r="X71" s="47" t="n"/>
      <c r="Y71" s="47" t="n"/>
      <c r="Z71" s="47" t="n"/>
      <c r="AA71" s="47" t="n"/>
      <c r="AB71" s="47" t="n"/>
      <c r="AC71" s="47" t="n"/>
      <c r="AD71" s="47" t="n"/>
      <c r="AE71" s="47" t="n"/>
      <c r="AF71" s="1" t="n"/>
      <c r="AG71" s="47" t="n"/>
    </row>
    <row r="72" ht="15.95" customHeight="1" s="27">
      <c r="A72" s="22" t="inlineStr">
        <is>
          <t>HSA-X36EAY</t>
        </is>
      </c>
      <c r="B72" s="66" t="n"/>
      <c r="C72" s="66" t="n"/>
      <c r="D72" s="66">
        <f>橫樑!I16</f>
        <v/>
      </c>
      <c r="E72" s="66" t="n"/>
      <c r="F72" s="66" t="n"/>
      <c r="G72" s="65" t="n"/>
      <c r="H72" s="47" t="n"/>
      <c r="I72" s="47" t="n"/>
      <c r="J72" s="47" t="n"/>
      <c r="K72" s="47" t="n"/>
      <c r="L72" s="47" t="n"/>
      <c r="M72" s="47" t="n"/>
      <c r="N72" s="47" t="n"/>
      <c r="O72" s="47" t="n"/>
      <c r="P72" s="47" t="n"/>
      <c r="Q72" s="47" t="n"/>
      <c r="R72" s="47" t="n"/>
      <c r="S72" s="47" t="n"/>
      <c r="T72" s="47" t="n"/>
      <c r="U72" s="47" t="n"/>
      <c r="V72" s="47" t="n"/>
      <c r="W72" s="47" t="n"/>
      <c r="X72" s="47" t="n"/>
      <c r="Y72" s="47" t="n"/>
      <c r="Z72" s="47" t="n"/>
      <c r="AA72" s="47" t="n"/>
      <c r="AB72" s="47" t="n"/>
      <c r="AC72" s="47" t="n"/>
      <c r="AD72" s="47" t="n"/>
      <c r="AE72" s="47" t="n"/>
      <c r="AF72" s="1" t="n"/>
      <c r="AG72" s="47" t="n"/>
    </row>
    <row r="73" ht="15.95" customHeight="1" s="27">
      <c r="A73" s="22" t="inlineStr">
        <is>
          <t>HSA-X46EAY</t>
        </is>
      </c>
      <c r="B73" s="66" t="n"/>
      <c r="C73" s="66" t="n"/>
      <c r="D73" s="66">
        <f>橫樑!#REF!</f>
        <v/>
      </c>
      <c r="E73" s="66" t="n"/>
      <c r="F73" s="66" t="n"/>
      <c r="G73" s="65" t="n"/>
      <c r="H73" s="47" t="n"/>
      <c r="I73" s="47" t="n"/>
      <c r="J73" s="47" t="n"/>
      <c r="K73" s="47" t="n"/>
      <c r="L73" s="47" t="n"/>
      <c r="M73" s="47" t="n"/>
      <c r="N73" s="47" t="n"/>
      <c r="O73" s="47" t="n"/>
      <c r="P73" s="47" t="n"/>
      <c r="Q73" s="47" t="n"/>
      <c r="R73" s="47" t="n"/>
      <c r="S73" s="47" t="n"/>
      <c r="T73" s="47" t="n"/>
      <c r="U73" s="47" t="n"/>
      <c r="V73" s="47" t="n"/>
      <c r="W73" s="47" t="n"/>
      <c r="X73" s="47" t="n"/>
      <c r="Y73" s="47" t="n"/>
      <c r="Z73" s="47" t="n"/>
      <c r="AA73" s="47" t="n"/>
      <c r="AB73" s="47" t="n"/>
      <c r="AC73" s="47" t="n"/>
      <c r="AD73" s="47" t="n"/>
      <c r="AE73" s="47" t="n"/>
      <c r="AF73" s="1" t="n"/>
      <c r="AG73" s="47" t="n"/>
    </row>
    <row r="74" ht="15.95" customHeight="1" s="27">
      <c r="A74" s="22" t="inlineStr">
        <is>
          <t>TGV-106</t>
        </is>
      </c>
      <c r="B74" s="66">
        <f>底座!H62</f>
        <v/>
      </c>
      <c r="C74" s="66" t="n"/>
      <c r="D74" s="66">
        <f>橫樑!I18</f>
        <v/>
      </c>
      <c r="E74" s="66" t="n"/>
      <c r="F74" s="66" t="n"/>
      <c r="G74" s="65" t="n"/>
      <c r="H74" s="47" t="n"/>
      <c r="I74" s="47" t="n"/>
      <c r="J74" s="47" t="n"/>
      <c r="K74" s="47" t="n"/>
      <c r="L74" s="47" t="n"/>
      <c r="M74" s="47" t="n"/>
      <c r="N74" s="47" t="n"/>
      <c r="O74" s="47" t="n"/>
      <c r="P74" s="47" t="n"/>
      <c r="Q74" s="47" t="n"/>
      <c r="R74" s="47" t="n"/>
      <c r="S74" s="47" t="n"/>
      <c r="T74" s="47" t="n"/>
      <c r="U74" s="47" t="n"/>
      <c r="V74" s="47" t="n"/>
      <c r="W74" s="47" t="n"/>
      <c r="X74" s="47" t="n"/>
      <c r="Y74" s="47" t="n"/>
      <c r="Z74" s="47" t="n"/>
      <c r="AA74" s="47" t="n"/>
      <c r="AB74" s="47" t="n"/>
      <c r="AC74" s="47" t="n"/>
      <c r="AD74" s="47" t="n"/>
      <c r="AE74" s="47" t="n"/>
      <c r="AF74" s="1" t="n"/>
      <c r="AG74" s="47" t="n"/>
    </row>
    <row r="75" ht="15.95" customHeight="1" s="27">
      <c r="A75" s="22" t="inlineStr">
        <is>
          <t>HSA-X23_NEO</t>
        </is>
      </c>
      <c r="B75" s="66" t="n"/>
      <c r="C75" s="66" t="n"/>
      <c r="D75" s="66">
        <f>橫樑!I19</f>
        <v/>
      </c>
      <c r="E75" s="66" t="n"/>
      <c r="F75" s="66" t="n"/>
      <c r="G75" s="65" t="n"/>
      <c r="H75" s="47" t="n"/>
      <c r="I75" s="47" t="n"/>
      <c r="J75" s="47" t="n"/>
      <c r="K75" s="47" t="n"/>
      <c r="L75" s="47" t="n"/>
      <c r="M75" s="47" t="n"/>
      <c r="N75" s="47" t="n"/>
      <c r="O75" s="47" t="n"/>
      <c r="P75" s="47" t="n"/>
      <c r="Q75" s="47" t="n"/>
      <c r="R75" s="47" t="n"/>
      <c r="S75" s="47" t="n"/>
      <c r="T75" s="47" t="n"/>
      <c r="U75" s="47" t="n"/>
      <c r="V75" s="47" t="n"/>
      <c r="W75" s="47" t="n"/>
      <c r="X75" s="47" t="n"/>
      <c r="Y75" s="47" t="n"/>
      <c r="Z75" s="47" t="n"/>
      <c r="AA75" s="47" t="n"/>
      <c r="AB75" s="47" t="n"/>
      <c r="AC75" s="47" t="n"/>
      <c r="AD75" s="47" t="n"/>
      <c r="AE75" s="47" t="n"/>
      <c r="AF75" s="1" t="n"/>
      <c r="AG75" s="47" t="n"/>
    </row>
    <row r="76" ht="15.95" customHeight="1" s="27">
      <c r="A76" s="22" t="inlineStr">
        <is>
          <t>HSA-X20_NEO</t>
        </is>
      </c>
      <c r="B76" s="66" t="n"/>
      <c r="C76" s="66" t="n"/>
      <c r="D76" s="66">
        <f>橫樑!I20</f>
        <v/>
      </c>
      <c r="E76" s="66" t="n"/>
      <c r="F76" s="66" t="n"/>
      <c r="G76" s="65" t="n"/>
      <c r="H76" s="47" t="n"/>
      <c r="I76" s="47" t="n"/>
      <c r="J76" s="47" t="n"/>
      <c r="K76" s="47" t="n"/>
      <c r="L76" s="47" t="n"/>
      <c r="M76" s="47" t="n"/>
      <c r="N76" s="47" t="n"/>
      <c r="O76" s="47" t="n"/>
      <c r="P76" s="47" t="n"/>
      <c r="Q76" s="47" t="n"/>
      <c r="R76" s="47" t="n"/>
      <c r="S76" s="47" t="n"/>
      <c r="T76" s="47" t="n"/>
      <c r="U76" s="47" t="n"/>
      <c r="V76" s="47" t="n"/>
      <c r="W76" s="47" t="n"/>
      <c r="X76" s="47" t="n"/>
      <c r="Y76" s="47" t="n"/>
      <c r="Z76" s="47" t="n"/>
      <c r="AA76" s="47" t="n"/>
      <c r="AB76" s="47" t="n"/>
      <c r="AC76" s="47" t="n"/>
      <c r="AD76" s="47" t="n"/>
      <c r="AE76" s="47" t="n"/>
      <c r="AF76" s="1" t="n"/>
      <c r="AG76" s="47" t="n"/>
    </row>
    <row r="77" ht="15.95" customHeight="1" s="27">
      <c r="A77" s="19" t="inlineStr">
        <is>
          <t>LG-500</t>
        </is>
      </c>
      <c r="B77" s="66">
        <f>底座!H63</f>
        <v/>
      </c>
      <c r="C77" s="66" t="n"/>
      <c r="D77" s="66" t="n"/>
      <c r="E77" s="66">
        <f>立柱!#REF!</f>
        <v/>
      </c>
      <c r="F77" s="66" t="n"/>
      <c r="G77" s="65" t="n"/>
      <c r="H77" s="47" t="n"/>
      <c r="I77" s="47" t="n"/>
      <c r="J77" s="47" t="n"/>
      <c r="K77" s="47" t="n"/>
      <c r="L77" s="47" t="n"/>
      <c r="M77" s="47" t="n"/>
      <c r="N77" s="47" t="n"/>
      <c r="O77" s="47" t="n"/>
      <c r="P77" s="47" t="n"/>
      <c r="Q77" s="47" t="n"/>
      <c r="R77" s="47" t="n"/>
      <c r="S77" s="47" t="n"/>
      <c r="T77" s="47" t="n"/>
      <c r="U77" s="47" t="n"/>
      <c r="V77" s="47" t="n"/>
      <c r="W77" s="47" t="n"/>
      <c r="X77" s="47" t="n"/>
      <c r="Y77" s="47" t="n"/>
      <c r="Z77" s="47" t="n"/>
      <c r="AA77" s="47" t="n"/>
      <c r="AB77" s="47" t="n"/>
      <c r="AC77" s="47" t="n"/>
      <c r="AD77" s="47" t="n"/>
      <c r="AE77" s="47" t="n"/>
      <c r="AF77" s="1" t="n"/>
      <c r="AG77" s="47" t="n"/>
    </row>
    <row r="78" ht="15.95" customHeight="1" s="27">
      <c r="A78" s="19" t="inlineStr">
        <is>
          <t>LG-800</t>
        </is>
      </c>
      <c r="B78" s="66">
        <f>底座!H64</f>
        <v/>
      </c>
      <c r="C78" s="66" t="n"/>
      <c r="D78" s="66" t="n"/>
      <c r="E78" s="66">
        <f>立柱!G6</f>
        <v/>
      </c>
      <c r="F78" s="66" t="n"/>
      <c r="G78" s="65" t="n"/>
      <c r="H78" s="47" t="n"/>
      <c r="I78" s="47" t="n"/>
      <c r="J78" s="47" t="n"/>
      <c r="K78" s="47" t="n"/>
      <c r="L78" s="47" t="n"/>
      <c r="M78" s="47" t="n"/>
      <c r="N78" s="47" t="n"/>
      <c r="O78" s="47" t="n"/>
      <c r="P78" s="47" t="n"/>
      <c r="Q78" s="47" t="n"/>
      <c r="R78" s="47" t="n"/>
      <c r="S78" s="47" t="n"/>
      <c r="T78" s="47" t="n"/>
      <c r="U78" s="47" t="n"/>
      <c r="V78" s="47" t="n"/>
      <c r="W78" s="47" t="n"/>
      <c r="X78" s="47" t="n"/>
      <c r="Y78" s="47" t="n"/>
      <c r="Z78" s="47" t="n"/>
      <c r="AA78" s="47" t="n"/>
      <c r="AB78" s="47" t="n"/>
      <c r="AC78" s="47" t="n"/>
      <c r="AD78" s="47" t="n"/>
      <c r="AE78" s="47" t="n"/>
      <c r="AF78" s="1" t="n"/>
      <c r="AG78" s="47" t="n"/>
    </row>
    <row r="79" ht="15.95" customHeight="1" s="27">
      <c r="A79" s="19" t="inlineStr">
        <is>
          <t>LG-1370</t>
        </is>
      </c>
      <c r="B79" s="66">
        <f>底座!H65</f>
        <v/>
      </c>
      <c r="C79" s="66" t="n"/>
      <c r="D79" s="66" t="n"/>
      <c r="E79" s="66">
        <f>立柱!G7</f>
        <v/>
      </c>
      <c r="F79" s="66" t="n"/>
      <c r="G79" s="65" t="n"/>
      <c r="H79" s="47" t="n"/>
      <c r="I79" s="47" t="n"/>
      <c r="J79" s="47" t="n"/>
      <c r="K79" s="47" t="n"/>
      <c r="L79" s="47" t="n"/>
      <c r="M79" s="47" t="n"/>
      <c r="N79" s="47" t="n"/>
      <c r="O79" s="47" t="n"/>
      <c r="P79" s="47" t="n"/>
      <c r="Q79" s="47" t="n"/>
      <c r="R79" s="47" t="n"/>
      <c r="S79" s="47" t="n"/>
      <c r="T79" s="47" t="n"/>
      <c r="U79" s="47" t="n"/>
      <c r="V79" s="47" t="n"/>
      <c r="W79" s="47" t="n"/>
      <c r="X79" s="47" t="n"/>
      <c r="Y79" s="47" t="n"/>
      <c r="Z79" s="47" t="n"/>
      <c r="AA79" s="47" t="n"/>
      <c r="AB79" s="47" t="n"/>
      <c r="AC79" s="47" t="n"/>
      <c r="AD79" s="47" t="n"/>
      <c r="AE79" s="47" t="n"/>
      <c r="AF79" s="1" t="n"/>
      <c r="AG79" s="47" t="n"/>
    </row>
    <row r="80" ht="15.95" customHeight="1" s="27">
      <c r="A80" s="19" t="inlineStr">
        <is>
          <t>MVP-860</t>
        </is>
      </c>
      <c r="B80" s="66">
        <f>底座!H66</f>
        <v/>
      </c>
      <c r="C80" s="66" t="n"/>
      <c r="D80" s="66" t="n"/>
      <c r="E80" s="66">
        <f>立柱!G9</f>
        <v/>
      </c>
      <c r="F80" s="66" t="n"/>
      <c r="G80" s="65" t="n"/>
    </row>
    <row r="81" ht="15.95" customHeight="1" s="27">
      <c r="A81" s="19" t="inlineStr">
        <is>
          <t>MVP-1060</t>
        </is>
      </c>
      <c r="B81" s="66" t="n"/>
      <c r="C81" s="66" t="n"/>
      <c r="D81" s="66" t="n"/>
      <c r="E81" s="66" t="n"/>
      <c r="F81" s="66" t="n"/>
      <c r="G81" s="65" t="n"/>
    </row>
    <row r="82" ht="15.95" customHeight="1" s="27">
      <c r="A82" s="19" t="inlineStr">
        <is>
          <t>MVP-11</t>
        </is>
      </c>
      <c r="B82" s="66">
        <f>底座!H67</f>
        <v/>
      </c>
      <c r="C82" s="66" t="n"/>
      <c r="D82" s="66" t="n"/>
      <c r="E82" s="66">
        <f>立柱!G10</f>
        <v/>
      </c>
      <c r="F82" s="66" t="n"/>
      <c r="G82" s="65" t="n"/>
    </row>
    <row r="83" ht="15.95" customHeight="1" s="27">
      <c r="A83" s="19" t="inlineStr">
        <is>
          <t>A10</t>
        </is>
      </c>
      <c r="B83" s="66">
        <f>底座!H68</f>
        <v/>
      </c>
      <c r="C83" s="66" t="n"/>
      <c r="D83" s="66" t="n"/>
      <c r="E83" s="66">
        <f>立柱!G11</f>
        <v/>
      </c>
      <c r="F83" s="66" t="n"/>
      <c r="G83" s="65" t="n"/>
    </row>
    <row r="84" ht="15.95" customHeight="1" s="27">
      <c r="A84" s="19" t="inlineStr">
        <is>
          <t>S-PLUS</t>
        </is>
      </c>
      <c r="B84" s="66">
        <f>底座!H69</f>
        <v/>
      </c>
      <c r="C84" s="66" t="n"/>
      <c r="D84" s="66" t="n"/>
      <c r="E84" s="66">
        <f>立柱!G12</f>
        <v/>
      </c>
      <c r="F84" s="66" t="n"/>
      <c r="G84" s="65" t="n"/>
    </row>
    <row r="85" ht="15.95" customHeight="1" s="27">
      <c r="A85" s="19" t="inlineStr">
        <is>
          <t>S8</t>
        </is>
      </c>
      <c r="B85" s="66">
        <f>底座!H70</f>
        <v/>
      </c>
      <c r="C85" s="66" t="n"/>
      <c r="D85" s="66" t="n"/>
      <c r="E85" s="66">
        <f>立柱!G13</f>
        <v/>
      </c>
      <c r="F85" s="66" t="n"/>
      <c r="G85" s="65" t="n"/>
    </row>
    <row r="86" ht="15.95" customHeight="1" s="27">
      <c r="A86" s="19" t="inlineStr">
        <is>
          <t>S10</t>
        </is>
      </c>
      <c r="B86" s="66">
        <f>底座!H71</f>
        <v/>
      </c>
      <c r="C86" s="66" t="n"/>
      <c r="D86" s="66" t="n"/>
      <c r="E86" s="66">
        <f>立柱!#REF!</f>
        <v/>
      </c>
      <c r="F86" s="66" t="n"/>
      <c r="G86" s="65" t="n"/>
    </row>
    <row r="87" ht="15.95" customHeight="1" s="27">
      <c r="A87" s="23" t="inlineStr">
        <is>
          <t>PBM135-X軸(3米)</t>
        </is>
      </c>
      <c r="B87" s="66">
        <f>底座!H43</f>
        <v/>
      </c>
      <c r="C87" s="66" t="n"/>
      <c r="D87" s="66" t="n"/>
      <c r="E87" s="66" t="n"/>
      <c r="F87" s="66" t="n"/>
      <c r="G87" s="65" t="n"/>
    </row>
    <row r="88" ht="15.95" customHeight="1" s="27">
      <c r="A88" s="23" t="inlineStr">
        <is>
          <t>PBM135-X軸(4米)</t>
        </is>
      </c>
      <c r="B88" s="66">
        <f>底座!H44</f>
        <v/>
      </c>
      <c r="C88" s="66" t="n"/>
      <c r="D88" s="66" t="n"/>
      <c r="E88" s="66" t="n"/>
      <c r="F88" s="66" t="n"/>
      <c r="G88" s="65" t="n"/>
    </row>
    <row r="89" ht="15.95" customHeight="1" s="27">
      <c r="A89" s="23" t="inlineStr">
        <is>
          <t>PBM135-Z軸</t>
        </is>
      </c>
      <c r="B89" s="66">
        <f>底座!H45</f>
        <v/>
      </c>
      <c r="C89" s="66" t="n"/>
      <c r="D89" s="66" t="n"/>
      <c r="E89" s="66" t="n"/>
      <c r="F89" s="66" t="n"/>
      <c r="G89" s="65" t="n"/>
    </row>
    <row r="90" ht="15.95" customHeight="1" s="27">
      <c r="A90" s="23" t="inlineStr">
        <is>
          <t>PBM115A-X軸</t>
        </is>
      </c>
      <c r="B90" s="66">
        <f>底座!H46</f>
        <v/>
      </c>
      <c r="C90" s="66" t="n"/>
      <c r="D90" s="66" t="n"/>
      <c r="E90" s="66" t="n"/>
      <c r="F90" s="66" t="n"/>
      <c r="G90" s="65" t="n"/>
    </row>
    <row r="91" ht="15.95" customHeight="1" s="27">
      <c r="A91" s="23" t="inlineStr">
        <is>
          <t>PBM115A-Z軸</t>
        </is>
      </c>
      <c r="B91" s="66">
        <f>底座!H47</f>
        <v/>
      </c>
      <c r="C91" s="66" t="n"/>
      <c r="D91" s="66" t="n"/>
      <c r="E91" s="66" t="n"/>
      <c r="F91" s="66" t="n"/>
      <c r="G91" s="65" t="n"/>
    </row>
    <row r="92" ht="15.95" customHeight="1" s="27">
      <c r="A92" s="47" t="inlineStr">
        <is>
          <t>BM-130-X2500</t>
        </is>
      </c>
      <c r="B92" s="47" t="inlineStr">
        <is>
          <t>None</t>
        </is>
      </c>
      <c r="C92" s="47" t="inlineStr">
        <is>
          <t>None</t>
        </is>
      </c>
      <c r="D92" s="47" t="inlineStr">
        <is>
          <t>None</t>
        </is>
      </c>
      <c r="E92" s="47" t="inlineStr">
        <is>
          <t>None</t>
        </is>
      </c>
      <c r="F92" s="47" t="inlineStr">
        <is>
          <t>None</t>
        </is>
      </c>
      <c r="G92" s="47" t="inlineStr">
        <is>
          <t>None</t>
        </is>
      </c>
      <c r="H92" s="47" t="inlineStr">
        <is>
          <t>None</t>
        </is>
      </c>
      <c r="I92" s="47" t="inlineStr">
        <is>
          <t>None</t>
        </is>
      </c>
      <c r="J92" s="47" t="inlineStr">
        <is>
          <t>None</t>
        </is>
      </c>
      <c r="K92" s="47" t="inlineStr">
        <is>
          <t>None</t>
        </is>
      </c>
      <c r="L92" s="47" t="inlineStr">
        <is>
          <t>None</t>
        </is>
      </c>
      <c r="M92" s="47" t="inlineStr">
        <is>
          <t>None</t>
        </is>
      </c>
      <c r="N92" s="47" t="inlineStr">
        <is>
          <t>None</t>
        </is>
      </c>
      <c r="O92" s="47" t="inlineStr">
        <is>
          <t>None</t>
        </is>
      </c>
      <c r="P92" s="47" t="inlineStr">
        <is>
          <t>None</t>
        </is>
      </c>
      <c r="Q92" s="47" t="inlineStr">
        <is>
          <t>None</t>
        </is>
      </c>
      <c r="R92" s="47" t="inlineStr">
        <is>
          <t>None</t>
        </is>
      </c>
      <c r="S92" s="47" t="inlineStr">
        <is>
          <t>None</t>
        </is>
      </c>
      <c r="T92" s="47" t="inlineStr">
        <is>
          <t>None</t>
        </is>
      </c>
      <c r="U92" s="47" t="inlineStr">
        <is>
          <t>None</t>
        </is>
      </c>
      <c r="V92" s="47" t="inlineStr">
        <is>
          <t>None</t>
        </is>
      </c>
      <c r="W92" s="47" t="inlineStr">
        <is>
          <t>None</t>
        </is>
      </c>
      <c r="X92" s="47" t="inlineStr">
        <is>
          <t>None</t>
        </is>
      </c>
      <c r="Y92" s="47" t="inlineStr">
        <is>
          <t>None</t>
        </is>
      </c>
      <c r="Z92" s="47" t="inlineStr">
        <is>
          <t>None</t>
        </is>
      </c>
      <c r="AA92" s="47" t="inlineStr">
        <is>
          <t>None</t>
        </is>
      </c>
      <c r="AB92" s="47" t="inlineStr">
        <is>
          <t>None</t>
        </is>
      </c>
      <c r="AC92" s="47" t="inlineStr">
        <is>
          <t>None</t>
        </is>
      </c>
      <c r="AD92" s="47" t="inlineStr">
        <is>
          <t>None</t>
        </is>
      </c>
      <c r="AE92" s="47" t="inlineStr">
        <is>
          <t>None</t>
        </is>
      </c>
      <c r="AF92" s="47" t="inlineStr">
        <is>
          <t>None</t>
        </is>
      </c>
      <c r="AG92" s="47" t="inlineStr">
        <is>
          <t>None</t>
        </is>
      </c>
    </row>
    <row r="93" ht="15.95" customHeight="1" s="27">
      <c r="A93" s="47" t="inlineStr">
        <is>
          <t>BM-130-Z1500</t>
        </is>
      </c>
      <c r="B93" s="47" t="inlineStr">
        <is>
          <t>None</t>
        </is>
      </c>
      <c r="C93" s="47" t="inlineStr">
        <is>
          <t>None</t>
        </is>
      </c>
      <c r="D93" s="47" t="inlineStr">
        <is>
          <t>None</t>
        </is>
      </c>
      <c r="E93" s="47" t="inlineStr">
        <is>
          <t>None</t>
        </is>
      </c>
      <c r="F93" s="47" t="inlineStr">
        <is>
          <t>None</t>
        </is>
      </c>
      <c r="G93" s="47" t="inlineStr">
        <is>
          <t>None</t>
        </is>
      </c>
      <c r="H93" s="47" t="inlineStr">
        <is>
          <t>None</t>
        </is>
      </c>
      <c r="I93" s="47" t="inlineStr">
        <is>
          <t>None</t>
        </is>
      </c>
      <c r="J93" s="47" t="inlineStr">
        <is>
          <t>None</t>
        </is>
      </c>
      <c r="K93" s="47" t="inlineStr">
        <is>
          <t>None</t>
        </is>
      </c>
      <c r="L93" s="47" t="inlineStr">
        <is>
          <t>None</t>
        </is>
      </c>
      <c r="M93" s="47" t="inlineStr">
        <is>
          <t>None</t>
        </is>
      </c>
      <c r="N93" s="47" t="inlineStr">
        <is>
          <t>None</t>
        </is>
      </c>
      <c r="O93" s="47" t="inlineStr">
        <is>
          <t>None</t>
        </is>
      </c>
      <c r="P93" s="47" t="inlineStr">
        <is>
          <t>None</t>
        </is>
      </c>
      <c r="Q93" s="47" t="inlineStr">
        <is>
          <t>None</t>
        </is>
      </c>
      <c r="R93" s="47" t="inlineStr">
        <is>
          <t>None</t>
        </is>
      </c>
      <c r="S93" s="47" t="inlineStr">
        <is>
          <t>None</t>
        </is>
      </c>
      <c r="T93" s="47" t="inlineStr">
        <is>
          <t>None</t>
        </is>
      </c>
      <c r="U93" s="47" t="inlineStr">
        <is>
          <t>None</t>
        </is>
      </c>
      <c r="V93" s="47" t="inlineStr">
        <is>
          <t>None</t>
        </is>
      </c>
      <c r="W93" s="47" t="inlineStr">
        <is>
          <t>None</t>
        </is>
      </c>
      <c r="X93" s="47" t="inlineStr">
        <is>
          <t>None</t>
        </is>
      </c>
      <c r="Y93" s="47" t="inlineStr">
        <is>
          <t>None</t>
        </is>
      </c>
      <c r="Z93" s="47" t="inlineStr">
        <is>
          <t>None</t>
        </is>
      </c>
      <c r="AA93" s="47" t="inlineStr">
        <is>
          <t>None</t>
        </is>
      </c>
      <c r="AB93" s="47" t="inlineStr">
        <is>
          <t>None</t>
        </is>
      </c>
      <c r="AC93" s="47" t="inlineStr">
        <is>
          <t>None</t>
        </is>
      </c>
      <c r="AD93" s="47" t="inlineStr">
        <is>
          <t>None</t>
        </is>
      </c>
      <c r="AE93" s="47" t="inlineStr">
        <is>
          <t>None</t>
        </is>
      </c>
      <c r="AF93" s="47" t="inlineStr">
        <is>
          <t>None</t>
        </is>
      </c>
      <c r="AG93" s="47" t="inlineStr">
        <is>
          <t>None</t>
        </is>
      </c>
    </row>
    <row r="94" ht="15.95" customHeight="1" s="27">
      <c r="A94" s="23" t="inlineStr">
        <is>
          <t>SW-216</t>
        </is>
      </c>
      <c r="B94" s="66">
        <f>底座!H51</f>
        <v/>
      </c>
      <c r="C94" s="66">
        <f>工作台!J26</f>
        <v/>
      </c>
      <c r="D94" s="66" t="n"/>
      <c r="E94" s="66" t="n"/>
      <c r="F94" s="66" t="n"/>
      <c r="G94" s="65" t="n"/>
    </row>
    <row r="95" ht="15.95" customHeight="1" s="27">
      <c r="A95" s="23" t="inlineStr">
        <is>
          <t>SW-2616</t>
        </is>
      </c>
      <c r="B95" s="66">
        <f>底座!#REF!</f>
        <v/>
      </c>
      <c r="C95" s="66">
        <f>工作台!J27</f>
        <v/>
      </c>
      <c r="D95" s="66" t="n"/>
      <c r="E95" s="66" t="n"/>
      <c r="F95" s="66" t="n"/>
      <c r="G95" s="65" t="n"/>
    </row>
    <row r="96" ht="15.95" customHeight="1" s="27">
      <c r="A96" s="23" t="inlineStr">
        <is>
          <t>SW-220</t>
        </is>
      </c>
      <c r="B96" s="66">
        <f>底座!H50</f>
        <v/>
      </c>
      <c r="C96" s="66">
        <f>工作台!J28</f>
        <v/>
      </c>
      <c r="D96" s="66" t="n"/>
      <c r="E96" s="66" t="n"/>
      <c r="F96" s="66" t="n"/>
      <c r="G96" s="65" t="n"/>
    </row>
    <row r="97" ht="15.95" customHeight="1" s="27">
      <c r="A97" s="23" t="inlineStr">
        <is>
          <t>SW-316</t>
        </is>
      </c>
      <c r="B97" s="66">
        <f>底座!H52</f>
        <v/>
      </c>
      <c r="C97" s="66">
        <f>工作台!J29</f>
        <v/>
      </c>
      <c r="D97" s="66" t="n"/>
      <c r="E97" s="66" t="n"/>
      <c r="F97" s="66" t="n"/>
      <c r="G97" s="65" t="n"/>
    </row>
    <row r="98" ht="15.95" customHeight="1" s="27">
      <c r="A98" s="23" t="inlineStr">
        <is>
          <t>SW-320</t>
        </is>
      </c>
      <c r="B98" s="66">
        <f>底座!H53</f>
        <v/>
      </c>
      <c r="C98" s="66">
        <f>工作台!J30</f>
        <v/>
      </c>
      <c r="D98" s="66" t="n"/>
      <c r="E98" s="66" t="n"/>
      <c r="F98" s="66" t="n"/>
      <c r="G98" s="65" t="n"/>
    </row>
    <row r="99" ht="15.95" customHeight="1" s="27">
      <c r="A99" s="23" t="inlineStr">
        <is>
          <t>SW323</t>
        </is>
      </c>
      <c r="B99" s="66">
        <f>底座!H54</f>
        <v/>
      </c>
      <c r="C99" s="66">
        <f>工作台!J31</f>
        <v/>
      </c>
      <c r="D99" s="66" t="n"/>
      <c r="E99" s="66" t="n"/>
      <c r="F99" s="66" t="n"/>
      <c r="G99" s="65" t="n"/>
    </row>
    <row r="100" ht="15.95" customHeight="1" s="27">
      <c r="A100" s="23" t="inlineStr">
        <is>
          <t>SW326</t>
        </is>
      </c>
      <c r="B100" s="66">
        <f>底座!H55</f>
        <v/>
      </c>
      <c r="C100" s="66">
        <f>工作台!J32</f>
        <v/>
      </c>
      <c r="D100" s="66" t="n"/>
      <c r="E100" s="66" t="n"/>
      <c r="F100" s="66" t="n"/>
      <c r="G100" s="65" t="n"/>
    </row>
    <row r="101" ht="15.95" customHeight="1" s="27">
      <c r="A101" s="23" t="inlineStr">
        <is>
          <t>SW416</t>
        </is>
      </c>
      <c r="B101" s="66">
        <f>底座!H58</f>
        <v/>
      </c>
      <c r="C101" s="66">
        <f>工作台!J33</f>
        <v/>
      </c>
      <c r="D101" s="66" t="n"/>
      <c r="E101" s="66" t="n"/>
      <c r="F101" s="66" t="n"/>
      <c r="G101" s="65" t="n"/>
    </row>
    <row r="102" ht="15.95" customHeight="1" s="27">
      <c r="A102" s="23" t="inlineStr">
        <is>
          <t>SW420</t>
        </is>
      </c>
      <c r="B102" s="66">
        <f>底座!H56</f>
        <v/>
      </c>
      <c r="C102" s="66">
        <f>工作台!J34</f>
        <v/>
      </c>
      <c r="D102" s="66" t="n"/>
      <c r="E102" s="66" t="n"/>
      <c r="F102" s="66" t="n"/>
      <c r="G102" s="65" t="n"/>
    </row>
    <row r="103" ht="15.95" customHeight="1" s="27">
      <c r="A103" s="23" t="inlineStr">
        <is>
          <t>SW423</t>
        </is>
      </c>
      <c r="B103" s="66">
        <f>底座!H57</f>
        <v/>
      </c>
      <c r="C103" s="66">
        <f>工作台!J35</f>
        <v/>
      </c>
      <c r="D103" s="66" t="n"/>
      <c r="E103" s="66" t="n"/>
      <c r="F103" s="66" t="n"/>
      <c r="G103" s="65" t="n"/>
    </row>
    <row r="104">
      <c r="A104" s="23" t="inlineStr">
        <is>
          <t>SW-426</t>
        </is>
      </c>
      <c r="B104" s="66">
        <f>底座!H59</f>
        <v/>
      </c>
      <c r="C104" s="66">
        <f>工作台!J37</f>
        <v/>
      </c>
      <c r="D104" s="66" t="n"/>
      <c r="E104" s="66" t="n"/>
      <c r="F104" s="66" t="n"/>
      <c r="G104" s="65" t="n"/>
    </row>
    <row r="105">
      <c r="A105" s="23" t="inlineStr">
        <is>
          <t>SW-4350</t>
        </is>
      </c>
      <c r="B105" s="66">
        <f>底座!#REF!</f>
        <v/>
      </c>
      <c r="C105" s="66">
        <f>工作台!#REF!</f>
        <v/>
      </c>
      <c r="D105" s="66" t="n"/>
      <c r="E105" s="66" t="n"/>
      <c r="F105" s="66" t="n"/>
      <c r="G105" s="65" t="n"/>
    </row>
    <row r="106">
      <c r="A106" s="23" t="inlineStr">
        <is>
          <t>SW-523</t>
        </is>
      </c>
      <c r="B106" s="66">
        <f>底座!H60</f>
        <v/>
      </c>
      <c r="C106" s="66">
        <f>工作台!J38</f>
        <v/>
      </c>
      <c r="D106" s="66" t="n"/>
      <c r="E106" s="66" t="n"/>
      <c r="F106" s="66" t="n"/>
      <c r="G106" s="65" t="n"/>
    </row>
    <row r="107">
      <c r="A107" s="23" t="inlineStr">
        <is>
          <t>SW-526</t>
        </is>
      </c>
      <c r="B107" s="66">
        <f>底座!H61</f>
        <v/>
      </c>
      <c r="C107" s="66">
        <f>工作台!J40</f>
        <v/>
      </c>
      <c r="D107" s="66" t="n"/>
      <c r="E107" s="66" t="n"/>
      <c r="F107" s="66" t="n"/>
      <c r="G107" s="65" t="n"/>
    </row>
    <row r="108">
      <c r="A108" s="23" t="inlineStr">
        <is>
          <t>SW-623</t>
        </is>
      </c>
      <c r="B108" s="66" t="n"/>
      <c r="C108" s="66">
        <f>工作台!J39</f>
        <v/>
      </c>
      <c r="D108" s="66" t="n"/>
      <c r="E108" s="66" t="n"/>
      <c r="F108" s="66" t="n"/>
      <c r="G108" s="65" t="n"/>
    </row>
    <row r="109">
      <c r="A109" s="23" t="inlineStr">
        <is>
          <t>SW-626</t>
        </is>
      </c>
      <c r="B109" s="66" t="n">
        <v>0</v>
      </c>
      <c r="C109" s="66">
        <f>工作台!#REF!</f>
        <v/>
      </c>
      <c r="D109" s="66" t="n"/>
      <c r="E109" s="66" t="n"/>
      <c r="F109" s="66" t="n"/>
      <c r="G109" s="65" t="n"/>
    </row>
    <row r="110">
      <c r="A110" s="23" t="inlineStr">
        <is>
          <t>SW-5350</t>
        </is>
      </c>
      <c r="B110" s="66" t="n">
        <v>0</v>
      </c>
      <c r="C110" s="66">
        <f>工作台!#REF!</f>
        <v/>
      </c>
      <c r="D110" s="66" t="n"/>
      <c r="E110" s="66" t="n"/>
      <c r="F110" s="66" t="n"/>
      <c r="G110" s="65" t="n"/>
    </row>
    <row r="111">
      <c r="A111" s="23" t="inlineStr">
        <is>
          <t>SW-6350</t>
        </is>
      </c>
      <c r="B111" s="66" t="n"/>
      <c r="C111" s="66" t="n">
        <v>0</v>
      </c>
      <c r="D111" s="66" t="n"/>
      <c r="E111" s="66" t="n"/>
      <c r="F111" s="66" t="n"/>
      <c r="G111" s="65" t="n"/>
    </row>
    <row r="112">
      <c r="A112" s="23" t="inlineStr">
        <is>
          <t>VW4340</t>
        </is>
      </c>
      <c r="B112" s="66" t="n">
        <v>0</v>
      </c>
      <c r="C112" s="66">
        <f>工作台!#REF!</f>
        <v/>
      </c>
      <c r="D112" s="66" t="n"/>
      <c r="E112" s="66" t="n"/>
      <c r="F112" s="66" t="n"/>
      <c r="G112" s="65" t="n"/>
    </row>
    <row r="113">
      <c r="A113" s="23" t="inlineStr">
        <is>
          <t>VW7340</t>
        </is>
      </c>
      <c r="B113" s="66">
        <f>底座!#REF!</f>
        <v/>
      </c>
      <c r="C113" s="66">
        <f>工作台!#REF!</f>
        <v/>
      </c>
      <c r="D113" s="66" t="n"/>
      <c r="E113" s="66">
        <f>立柱!#REF!</f>
        <v/>
      </c>
      <c r="F113" s="66" t="n"/>
      <c r="G113" s="65" t="n"/>
    </row>
    <row r="114">
      <c r="A114" s="23" t="inlineStr">
        <is>
          <t>VW5430</t>
        </is>
      </c>
      <c r="B114" s="66" t="n"/>
      <c r="C114" s="66">
        <f>工作台!#REF!</f>
        <v/>
      </c>
      <c r="D114" s="66" t="n"/>
      <c r="E114" s="66" t="n"/>
      <c r="F114" s="66" t="n"/>
      <c r="G114" s="65" t="n"/>
    </row>
    <row r="115">
      <c r="A115" s="23" t="inlineStr">
        <is>
          <t>VW-X340定樑</t>
        </is>
      </c>
      <c r="B115" s="69" t="n"/>
      <c r="C115" s="69" t="n"/>
      <c r="D115" s="69" t="n"/>
      <c r="E115" s="69" t="n"/>
      <c r="F115" s="69" t="n"/>
      <c r="G115" s="65" t="n">
        <v>1</v>
      </c>
    </row>
    <row r="116">
      <c r="A116" s="22" t="inlineStr">
        <is>
          <t>5BC-4300</t>
        </is>
      </c>
      <c r="B116" s="69" t="n"/>
      <c r="C116" s="69" t="n"/>
      <c r="D116" s="69" t="n"/>
      <c r="E116" s="66">
        <f>立柱!#REF!</f>
        <v/>
      </c>
      <c r="F116" s="69" t="n"/>
      <c r="G116" s="70" t="n"/>
    </row>
    <row r="117">
      <c r="A117" s="24" t="inlineStr">
        <is>
          <t>LG-1370_NEO</t>
        </is>
      </c>
      <c r="B117" s="66">
        <f>底座!H72</f>
        <v/>
      </c>
      <c r="C117" s="66" t="n"/>
      <c r="D117" s="66" t="n"/>
      <c r="E117" s="66">
        <f>立柱!G15</f>
        <v/>
      </c>
      <c r="F117" s="66" t="n"/>
      <c r="G117" s="65" t="n"/>
    </row>
    <row r="118">
      <c r="A118" s="24" t="inlineStr">
        <is>
          <t>LG-1000_NEO</t>
        </is>
      </c>
      <c r="B118" s="66">
        <f>底座!H73</f>
        <v/>
      </c>
      <c r="C118" s="66" t="n"/>
      <c r="D118" s="66" t="n"/>
      <c r="E118" s="66">
        <f>立柱!#REF!</f>
        <v/>
      </c>
      <c r="F118" s="66" t="n"/>
      <c r="G118" s="65" t="n"/>
    </row>
    <row r="119">
      <c r="A119" s="24" t="inlineStr">
        <is>
          <t>MVP-11_Dynamic</t>
        </is>
      </c>
      <c r="B119" s="69" t="n"/>
      <c r="C119" s="69" t="n"/>
      <c r="D119" s="69" t="n"/>
      <c r="E119" s="66">
        <f>立柱!#REF!</f>
        <v/>
      </c>
      <c r="F119" s="69" t="n"/>
      <c r="G119" s="70" t="n"/>
    </row>
    <row r="120">
      <c r="A120" s="24" t="inlineStr">
        <is>
          <t>LG-1000_NEO</t>
        </is>
      </c>
      <c r="B120" s="69" t="n"/>
      <c r="C120" s="69" t="n"/>
      <c r="D120" s="69" t="n"/>
      <c r="E120" s="66">
        <f>立柱!#REF!</f>
        <v/>
      </c>
      <c r="F120" s="69" t="n"/>
      <c r="G120" s="70" t="n"/>
    </row>
    <row r="121">
      <c r="A121" s="25" t="inlineStr">
        <is>
          <t>LG-1000_NEO+100H</t>
        </is>
      </c>
      <c r="B121" s="69" t="n"/>
      <c r="C121" s="69" t="n"/>
      <c r="D121" s="69" t="n"/>
      <c r="E121" s="66">
        <f>立柱!#REF!</f>
        <v/>
      </c>
      <c r="F121" s="69" t="n"/>
      <c r="G121" s="70" t="n"/>
    </row>
    <row r="122">
      <c r="A122" s="47" t="n"/>
      <c r="B122" s="68" t="n"/>
      <c r="C122" s="68" t="n"/>
      <c r="D122" s="68" t="n"/>
      <c r="E122" s="68" t="n"/>
      <c r="F122" s="68" t="n"/>
    </row>
    <row r="123">
      <c r="A123" s="47" t="n"/>
      <c r="B123" s="68" t="n"/>
      <c r="C123" s="68" t="n"/>
      <c r="D123" s="68" t="n"/>
      <c r="E123" s="68" t="n"/>
      <c r="F123" s="68" t="n"/>
    </row>
    <row r="124">
      <c r="A124" s="47" t="n"/>
      <c r="B124" s="68" t="n"/>
      <c r="C124" s="68" t="n"/>
      <c r="D124" s="68" t="n"/>
      <c r="E124" s="68" t="n"/>
      <c r="F124" s="68" t="n"/>
    </row>
    <row r="125">
      <c r="A125" s="47" t="n"/>
      <c r="B125" s="68" t="n"/>
      <c r="C125" s="68" t="n"/>
      <c r="D125" s="68" t="n"/>
      <c r="E125" s="68" t="n"/>
      <c r="F125" s="68" t="n"/>
    </row>
    <row r="126">
      <c r="A126" s="47" t="n"/>
      <c r="B126" s="68" t="n"/>
      <c r="C126" s="68" t="n"/>
      <c r="D126" s="68" t="n"/>
      <c r="E126" s="68" t="n"/>
      <c r="F126" s="68" t="n"/>
    </row>
    <row r="127">
      <c r="A127" s="47" t="n"/>
      <c r="B127" s="68" t="n"/>
      <c r="C127" s="68" t="n"/>
      <c r="D127" s="68" t="n"/>
      <c r="E127" s="68" t="n"/>
      <c r="F127" s="68" t="n"/>
    </row>
    <row r="128">
      <c r="A128" s="47" t="n"/>
      <c r="B128" s="68" t="n"/>
      <c r="C128" s="68" t="n"/>
      <c r="D128" s="68" t="n"/>
      <c r="E128" s="68" t="n"/>
      <c r="F128" s="68" t="n"/>
    </row>
    <row r="129">
      <c r="A129" s="47" t="n"/>
      <c r="B129" s="68" t="n"/>
      <c r="C129" s="68" t="n"/>
      <c r="D129" s="68" t="n"/>
      <c r="E129" s="68" t="n"/>
      <c r="F129" s="68" t="n"/>
    </row>
    <row r="130">
      <c r="A130" s="47" t="n"/>
      <c r="B130" s="68" t="n"/>
      <c r="C130" s="68" t="n"/>
      <c r="D130" s="68" t="n"/>
      <c r="E130" s="68" t="n"/>
      <c r="F130" s="68" t="n"/>
    </row>
    <row r="131">
      <c r="A131" s="47" t="n"/>
      <c r="B131" s="68" t="n"/>
      <c r="C131" s="68" t="n"/>
      <c r="D131" s="68" t="n"/>
      <c r="E131" s="68" t="n"/>
      <c r="F131" s="68" t="n"/>
    </row>
    <row r="132">
      <c r="A132" s="47" t="n"/>
      <c r="B132" s="68" t="n"/>
      <c r="C132" s="68" t="n"/>
      <c r="D132" s="68" t="n"/>
      <c r="E132" s="68" t="n"/>
      <c r="F132" s="68" t="n"/>
    </row>
    <row r="133">
      <c r="A133" s="47" t="n"/>
      <c r="B133" s="68" t="n"/>
      <c r="C133" s="68" t="n"/>
      <c r="D133" s="68" t="n"/>
      <c r="E133" s="68" t="n"/>
      <c r="F133" s="68" t="n"/>
    </row>
    <row r="134">
      <c r="A134" s="47" t="n"/>
      <c r="B134" s="68" t="n"/>
      <c r="C134" s="68" t="n"/>
      <c r="D134" s="68" t="n"/>
      <c r="E134" s="68" t="n"/>
      <c r="F134" s="68" t="n"/>
    </row>
    <row r="135">
      <c r="A135" s="47" t="n"/>
      <c r="B135" s="68" t="n"/>
      <c r="C135" s="68" t="n"/>
      <c r="D135" s="68" t="n"/>
      <c r="E135" s="68" t="n"/>
      <c r="F135" s="68" t="n"/>
    </row>
    <row r="136">
      <c r="A136" s="47" t="n"/>
      <c r="B136" s="68" t="n"/>
      <c r="C136" s="68" t="n"/>
      <c r="D136" s="68" t="n"/>
      <c r="E136" s="68" t="n"/>
      <c r="F136" s="68" t="n"/>
    </row>
    <row r="137">
      <c r="A137" s="47" t="n"/>
      <c r="B137" s="68" t="n"/>
      <c r="C137" s="68" t="n"/>
      <c r="D137" s="68" t="n"/>
      <c r="E137" s="68" t="n"/>
      <c r="F137" s="68" t="n"/>
    </row>
    <row r="138">
      <c r="A138" s="47" t="n"/>
      <c r="B138" s="68" t="n"/>
      <c r="C138" s="68" t="n"/>
      <c r="D138" s="68" t="n"/>
      <c r="E138" s="68" t="n"/>
      <c r="F138" s="68" t="n"/>
    </row>
    <row r="139">
      <c r="A139" s="47" t="n"/>
      <c r="B139" s="68" t="n"/>
      <c r="C139" s="68" t="n"/>
      <c r="D139" s="68" t="n"/>
      <c r="E139" s="68" t="n"/>
      <c r="F139" s="68" t="n"/>
    </row>
    <row r="140">
      <c r="A140" s="47" t="n"/>
      <c r="B140" s="68" t="n"/>
      <c r="C140" s="68" t="n"/>
      <c r="D140" s="68" t="n"/>
      <c r="E140" s="68" t="n"/>
      <c r="F140" s="68" t="n"/>
    </row>
    <row r="141">
      <c r="A141" s="47" t="n"/>
      <c r="B141" s="68" t="n"/>
      <c r="C141" s="68" t="n"/>
      <c r="D141" s="68" t="n"/>
      <c r="E141" s="68" t="n"/>
      <c r="F141" s="68" t="n"/>
    </row>
    <row r="142">
      <c r="A142" s="47" t="n"/>
      <c r="B142" s="68" t="n"/>
      <c r="C142" s="68" t="n"/>
      <c r="D142" s="68" t="n"/>
      <c r="E142" s="68" t="n"/>
      <c r="F142" s="68" t="n"/>
    </row>
    <row r="143">
      <c r="A143" s="47" t="n"/>
      <c r="B143" s="68" t="n"/>
      <c r="C143" s="68" t="n"/>
      <c r="D143" s="68" t="n"/>
      <c r="E143" s="68" t="n"/>
      <c r="F143" s="68" t="n"/>
    </row>
    <row r="144">
      <c r="A144" s="47" t="n"/>
      <c r="B144" s="68" t="n"/>
      <c r="C144" s="68" t="n"/>
      <c r="D144" s="68" t="n"/>
      <c r="E144" s="68" t="n"/>
      <c r="F144" s="68" t="n"/>
    </row>
    <row r="145">
      <c r="A145" s="47" t="n"/>
      <c r="B145" s="68" t="n"/>
      <c r="C145" s="68" t="n"/>
      <c r="D145" s="68" t="n"/>
      <c r="E145" s="68" t="n"/>
      <c r="F145" s="68" t="n"/>
    </row>
    <row r="146">
      <c r="A146" s="47" t="n"/>
      <c r="B146" s="68" t="n"/>
      <c r="C146" s="68" t="n"/>
      <c r="D146" s="68" t="n"/>
      <c r="E146" s="68" t="n"/>
      <c r="F146" s="68" t="n"/>
    </row>
    <row r="147">
      <c r="A147" s="47" t="n"/>
      <c r="B147" s="68" t="n"/>
      <c r="C147" s="68" t="n"/>
      <c r="D147" s="68" t="n"/>
      <c r="E147" s="68" t="n"/>
      <c r="F147" s="68" t="n"/>
    </row>
    <row r="148">
      <c r="A148" s="47" t="n"/>
      <c r="B148" s="68" t="n"/>
      <c r="C148" s="68" t="n"/>
      <c r="D148" s="68" t="n"/>
      <c r="E148" s="68" t="n"/>
      <c r="F148" s="68" t="n"/>
    </row>
    <row r="149">
      <c r="A149" s="47" t="n"/>
      <c r="B149" s="68" t="n"/>
      <c r="C149" s="68" t="n"/>
      <c r="D149" s="68" t="n"/>
      <c r="E149" s="68" t="n"/>
      <c r="F149" s="68" t="n"/>
    </row>
    <row r="150">
      <c r="A150" s="47" t="n"/>
      <c r="B150" s="68" t="n"/>
      <c r="C150" s="68" t="n"/>
      <c r="D150" s="68" t="n"/>
      <c r="E150" s="68" t="n"/>
      <c r="F150" s="68" t="n"/>
    </row>
    <row r="151">
      <c r="A151" s="47" t="n"/>
      <c r="B151" s="68" t="n"/>
      <c r="C151" s="68" t="n"/>
      <c r="D151" s="68" t="n"/>
      <c r="E151" s="68" t="n"/>
      <c r="F151" s="68" t="n"/>
    </row>
    <row r="152">
      <c r="A152" s="47" t="n"/>
      <c r="B152" s="68" t="n"/>
      <c r="C152" s="68" t="n"/>
      <c r="D152" s="68" t="n"/>
      <c r="E152" s="68" t="n"/>
      <c r="F152" s="68" t="n"/>
    </row>
    <row r="153">
      <c r="A153" s="47" t="n"/>
      <c r="B153" s="68" t="n"/>
      <c r="C153" s="68" t="n"/>
      <c r="D153" s="68" t="n"/>
      <c r="E153" s="68" t="n"/>
      <c r="F153" s="68" t="n"/>
    </row>
    <row r="154">
      <c r="A154" s="47" t="n"/>
      <c r="B154" s="68" t="n"/>
      <c r="C154" s="68" t="n"/>
      <c r="D154" s="68" t="n"/>
      <c r="E154" s="68" t="n"/>
      <c r="F154" s="68" t="n"/>
    </row>
    <row r="155">
      <c r="A155" s="47" t="n"/>
      <c r="B155" s="68" t="n"/>
      <c r="C155" s="68" t="n"/>
      <c r="D155" s="68" t="n"/>
      <c r="E155" s="68" t="n"/>
      <c r="F155" s="68" t="n"/>
    </row>
    <row r="156">
      <c r="A156" s="47" t="n"/>
      <c r="B156" s="68" t="n"/>
      <c r="C156" s="68" t="n"/>
      <c r="D156" s="68" t="n"/>
      <c r="E156" s="68" t="n"/>
      <c r="F156" s="68" t="n"/>
    </row>
    <row r="157">
      <c r="A157" s="47" t="n"/>
      <c r="B157" s="68" t="n"/>
      <c r="C157" s="68" t="n"/>
      <c r="D157" s="68" t="n"/>
      <c r="E157" s="68" t="n"/>
      <c r="F157" s="68" t="n"/>
    </row>
    <row r="158">
      <c r="A158" s="47" t="n"/>
      <c r="B158" s="68" t="n"/>
      <c r="C158" s="68" t="n"/>
      <c r="D158" s="68" t="n"/>
      <c r="E158" s="68" t="n"/>
      <c r="F158" s="68" t="n"/>
    </row>
    <row r="159">
      <c r="A159" s="47" t="n"/>
      <c r="B159" s="68" t="n"/>
      <c r="C159" s="68" t="n"/>
      <c r="D159" s="68" t="n"/>
      <c r="E159" s="68" t="n"/>
      <c r="F159" s="68" t="n"/>
    </row>
    <row r="160">
      <c r="A160" s="47" t="n"/>
      <c r="B160" s="68" t="n"/>
      <c r="C160" s="68" t="n"/>
      <c r="D160" s="68" t="n"/>
      <c r="E160" s="68" t="n"/>
      <c r="F160" s="68" t="n"/>
    </row>
    <row r="161">
      <c r="A161" s="47" t="n"/>
      <c r="B161" s="68" t="n"/>
      <c r="C161" s="68" t="n"/>
      <c r="D161" s="68" t="n"/>
      <c r="E161" s="68" t="n"/>
      <c r="F161" s="68" t="n"/>
    </row>
    <row r="162">
      <c r="A162" s="47" t="n"/>
      <c r="B162" s="68" t="n"/>
      <c r="C162" s="68" t="n"/>
      <c r="D162" s="68" t="n"/>
      <c r="E162" s="68" t="n"/>
      <c r="F162" s="68" t="n"/>
    </row>
    <row r="163">
      <c r="A163" s="47" t="n"/>
      <c r="B163" s="68" t="n"/>
      <c r="C163" s="68" t="n"/>
      <c r="D163" s="68" t="n"/>
      <c r="E163" s="68" t="n"/>
      <c r="F163" s="68" t="n"/>
    </row>
    <row r="164">
      <c r="A164" s="47" t="n"/>
      <c r="B164" s="68" t="n"/>
      <c r="C164" s="68" t="n"/>
      <c r="D164" s="68" t="n"/>
      <c r="E164" s="68" t="n"/>
      <c r="F164" s="68" t="n"/>
    </row>
    <row r="165">
      <c r="A165" s="47" t="n"/>
      <c r="B165" s="68" t="n"/>
      <c r="C165" s="68" t="n"/>
      <c r="D165" s="68" t="n"/>
      <c r="E165" s="68" t="n"/>
      <c r="F165" s="68" t="n"/>
    </row>
    <row r="166">
      <c r="A166" s="47" t="n"/>
      <c r="B166" s="68" t="n"/>
      <c r="C166" s="68" t="n"/>
      <c r="D166" s="68" t="n"/>
      <c r="E166" s="68" t="n"/>
      <c r="F166" s="68" t="n"/>
    </row>
    <row r="167">
      <c r="A167" s="47" t="n"/>
      <c r="B167" s="68" t="n"/>
      <c r="C167" s="68" t="n"/>
      <c r="D167" s="68" t="n"/>
      <c r="E167" s="68" t="n"/>
      <c r="F167" s="68" t="n"/>
    </row>
    <row r="168">
      <c r="A168" s="47" t="n"/>
      <c r="B168" s="68" t="n"/>
      <c r="C168" s="68" t="n"/>
      <c r="D168" s="68" t="n"/>
      <c r="E168" s="68" t="n"/>
      <c r="F168" s="68" t="n"/>
    </row>
    <row r="169">
      <c r="A169" s="47" t="n"/>
      <c r="B169" s="68" t="n"/>
      <c r="C169" s="68" t="n"/>
      <c r="D169" s="68" t="n"/>
      <c r="E169" s="68" t="n"/>
      <c r="F169" s="68" t="n"/>
    </row>
    <row r="170">
      <c r="A170" s="47" t="n"/>
      <c r="B170" s="68" t="n"/>
      <c r="C170" s="68" t="n"/>
      <c r="D170" s="68" t="n"/>
      <c r="E170" s="68" t="n"/>
      <c r="F170" s="68" t="n"/>
    </row>
    <row r="171">
      <c r="A171" s="47" t="n"/>
      <c r="B171" s="68" t="n"/>
      <c r="C171" s="68" t="n"/>
      <c r="D171" s="68" t="n"/>
      <c r="E171" s="68" t="n"/>
      <c r="F171" s="68" t="n"/>
    </row>
    <row r="172">
      <c r="A172" s="47" t="n"/>
      <c r="B172" s="68" t="n"/>
      <c r="C172" s="68" t="n"/>
      <c r="D172" s="68" t="n"/>
      <c r="E172" s="68" t="n"/>
      <c r="F172" s="68" t="n"/>
    </row>
    <row r="173">
      <c r="A173" s="47" t="n"/>
      <c r="B173" s="68" t="n"/>
      <c r="C173" s="68" t="n"/>
      <c r="D173" s="68" t="n"/>
      <c r="E173" s="68" t="n"/>
      <c r="F173" s="68" t="n"/>
    </row>
    <row r="174">
      <c r="A174" s="47" t="n"/>
      <c r="B174" s="68" t="n"/>
      <c r="C174" s="68" t="n"/>
      <c r="D174" s="68" t="n"/>
      <c r="E174" s="68" t="n"/>
      <c r="F174" s="68" t="n"/>
    </row>
    <row r="175">
      <c r="A175" s="47" t="n"/>
      <c r="B175" s="68" t="n"/>
      <c r="C175" s="68" t="n"/>
      <c r="D175" s="68" t="n"/>
      <c r="E175" s="68" t="n"/>
      <c r="F175" s="68" t="n"/>
    </row>
    <row r="176">
      <c r="A176" s="47" t="n"/>
      <c r="B176" s="68" t="n"/>
      <c r="C176" s="68" t="n"/>
      <c r="D176" s="68" t="n"/>
      <c r="E176" s="68" t="n"/>
      <c r="F176" s="68" t="n"/>
    </row>
    <row r="177">
      <c r="A177" s="47" t="n"/>
      <c r="B177" s="68" t="n"/>
      <c r="C177" s="68" t="n"/>
      <c r="D177" s="68" t="n"/>
      <c r="E177" s="68" t="n"/>
      <c r="F177" s="68" t="n"/>
    </row>
    <row r="178">
      <c r="A178" s="47" t="n"/>
      <c r="B178" s="68" t="n"/>
      <c r="C178" s="68" t="n"/>
      <c r="D178" s="68" t="n"/>
      <c r="E178" s="68" t="n"/>
      <c r="F178" s="68" t="n"/>
    </row>
    <row r="179">
      <c r="A179" s="47" t="n"/>
      <c r="B179" s="68" t="n"/>
      <c r="C179" s="68" t="n"/>
      <c r="D179" s="68" t="n"/>
      <c r="E179" s="68" t="n"/>
      <c r="F179" s="68" t="n"/>
    </row>
    <row r="180">
      <c r="A180" s="47" t="n"/>
      <c r="B180" s="68" t="n"/>
      <c r="C180" s="68" t="n"/>
      <c r="D180" s="68" t="n"/>
      <c r="E180" s="68" t="n"/>
      <c r="F180" s="68" t="n"/>
    </row>
    <row r="181">
      <c r="A181" s="47" t="n"/>
      <c r="B181" s="68" t="n"/>
      <c r="C181" s="68" t="n"/>
      <c r="D181" s="68" t="n"/>
      <c r="E181" s="68" t="n"/>
      <c r="F181" s="68" t="n"/>
    </row>
    <row r="182">
      <c r="A182" s="47" t="n"/>
      <c r="B182" s="68" t="n"/>
      <c r="C182" s="68" t="n"/>
      <c r="D182" s="68" t="n"/>
      <c r="E182" s="68" t="n"/>
      <c r="F182" s="68" t="n"/>
    </row>
    <row r="183">
      <c r="A183" s="47" t="n"/>
      <c r="B183" s="68" t="n"/>
      <c r="C183" s="68" t="n"/>
      <c r="D183" s="68" t="n"/>
      <c r="E183" s="68" t="n"/>
      <c r="F183" s="68" t="n"/>
    </row>
    <row r="184">
      <c r="A184" s="47" t="n"/>
      <c r="B184" s="68" t="n"/>
      <c r="C184" s="68" t="n"/>
      <c r="D184" s="68" t="n"/>
      <c r="E184" s="68" t="n"/>
      <c r="F184" s="68" t="n"/>
    </row>
    <row r="185">
      <c r="A185" s="47" t="n"/>
      <c r="B185" s="68" t="n"/>
      <c r="C185" s="68" t="n"/>
      <c r="D185" s="68" t="n"/>
      <c r="E185" s="68" t="n"/>
      <c r="F185" s="68" t="n"/>
    </row>
    <row r="186">
      <c r="A186" s="47" t="n"/>
      <c r="B186" s="68" t="n"/>
      <c r="C186" s="68" t="n"/>
      <c r="D186" s="68" t="n"/>
      <c r="E186" s="68" t="n"/>
      <c r="F186" s="68" t="n"/>
    </row>
    <row r="187">
      <c r="A187" s="47" t="n"/>
      <c r="B187" s="68" t="n"/>
      <c r="C187" s="68" t="n"/>
      <c r="D187" s="68" t="n"/>
      <c r="E187" s="68" t="n"/>
      <c r="F187" s="68" t="n"/>
    </row>
    <row r="188">
      <c r="A188" s="47" t="n"/>
      <c r="B188" s="68" t="n"/>
      <c r="C188" s="68" t="n"/>
      <c r="D188" s="68" t="n"/>
      <c r="E188" s="68" t="n"/>
      <c r="F188" s="68" t="n"/>
    </row>
    <row r="189">
      <c r="A189" s="47" t="n"/>
      <c r="B189" s="68" t="n"/>
      <c r="C189" s="68" t="n"/>
      <c r="D189" s="68" t="n"/>
      <c r="E189" s="68" t="n"/>
      <c r="F189" s="68" t="n"/>
    </row>
    <row r="190">
      <c r="A190" s="47" t="n"/>
      <c r="B190" s="68" t="n"/>
      <c r="C190" s="68" t="n"/>
      <c r="D190" s="68" t="n"/>
      <c r="E190" s="68" t="n"/>
      <c r="F190" s="68" t="n"/>
    </row>
    <row r="191">
      <c r="A191" s="47" t="n"/>
      <c r="B191" s="68" t="n"/>
      <c r="C191" s="68" t="n"/>
      <c r="D191" s="68" t="n"/>
      <c r="E191" s="68" t="n"/>
      <c r="F191" s="68" t="n"/>
    </row>
    <row r="192">
      <c r="A192" s="47" t="n"/>
      <c r="B192" s="68" t="n"/>
      <c r="C192" s="68" t="n"/>
      <c r="D192" s="68" t="n"/>
      <c r="E192" s="68" t="n"/>
      <c r="F192" s="68" t="n"/>
    </row>
    <row r="193">
      <c r="A193" s="47" t="n"/>
      <c r="B193" s="68" t="n"/>
      <c r="C193" s="68" t="n"/>
      <c r="D193" s="68" t="n"/>
      <c r="E193" s="68" t="n"/>
      <c r="F193" s="68" t="n"/>
    </row>
    <row r="194">
      <c r="A194" s="47" t="n"/>
      <c r="B194" s="68" t="n"/>
      <c r="C194" s="68" t="n"/>
      <c r="D194" s="68" t="n"/>
      <c r="E194" s="68" t="n"/>
      <c r="F194" s="68" t="n"/>
    </row>
    <row r="195">
      <c r="A195" s="47" t="n"/>
      <c r="B195" s="68" t="n"/>
      <c r="C195" s="68" t="n"/>
      <c r="D195" s="68" t="n"/>
      <c r="E195" s="68" t="n"/>
      <c r="F195" s="68" t="n"/>
    </row>
    <row r="196">
      <c r="A196" s="47" t="n"/>
      <c r="B196" s="68" t="n"/>
      <c r="C196" s="68" t="n"/>
      <c r="D196" s="68" t="n"/>
      <c r="E196" s="68" t="n"/>
      <c r="F196" s="68" t="n"/>
    </row>
    <row r="197">
      <c r="A197" s="47" t="n"/>
      <c r="B197" s="68" t="n"/>
      <c r="C197" s="68" t="n"/>
      <c r="D197" s="68" t="n"/>
      <c r="E197" s="68" t="n"/>
      <c r="F197" s="68" t="n"/>
    </row>
    <row r="198">
      <c r="A198" s="47" t="n"/>
      <c r="B198" s="68" t="n"/>
      <c r="C198" s="68" t="n"/>
      <c r="D198" s="68" t="n"/>
      <c r="E198" s="68" t="n"/>
      <c r="F198" s="68" t="n"/>
    </row>
    <row r="199">
      <c r="A199" s="47" t="n"/>
      <c r="B199" s="68" t="n"/>
      <c r="C199" s="68" t="n"/>
      <c r="D199" s="68" t="n"/>
      <c r="E199" s="68" t="n"/>
      <c r="F199" s="68" t="n"/>
    </row>
    <row r="200">
      <c r="A200" s="47" t="n"/>
      <c r="B200" s="68" t="n"/>
      <c r="C200" s="68" t="n"/>
      <c r="D200" s="68" t="n"/>
      <c r="E200" s="68" t="n"/>
      <c r="F200" s="68" t="n"/>
    </row>
    <row r="201">
      <c r="A201" s="47" t="n"/>
      <c r="B201" s="68" t="n"/>
      <c r="C201" s="68" t="n"/>
      <c r="D201" s="68" t="n"/>
      <c r="E201" s="68" t="n"/>
      <c r="F201" s="68" t="n"/>
    </row>
    <row r="202">
      <c r="A202" s="47" t="n"/>
      <c r="B202" s="68" t="n"/>
      <c r="C202" s="68" t="n"/>
      <c r="D202" s="68" t="n"/>
      <c r="E202" s="68" t="n"/>
      <c r="F202" s="68" t="n"/>
    </row>
    <row r="203">
      <c r="A203" s="47" t="n"/>
      <c r="B203" s="68" t="n"/>
      <c r="C203" s="68" t="n"/>
      <c r="D203" s="68" t="n"/>
      <c r="E203" s="68" t="n"/>
      <c r="F203" s="68" t="n"/>
    </row>
    <row r="204">
      <c r="A204" s="47" t="n"/>
      <c r="B204" s="68" t="n"/>
      <c r="C204" s="68" t="n"/>
      <c r="D204" s="68" t="n"/>
      <c r="E204" s="68" t="n"/>
      <c r="F204" s="68" t="n"/>
    </row>
    <row r="205">
      <c r="A205" s="47" t="n"/>
      <c r="B205" s="68" t="n"/>
      <c r="C205" s="68" t="n"/>
      <c r="D205" s="68" t="n"/>
      <c r="E205" s="68" t="n"/>
      <c r="F205" s="68" t="n"/>
    </row>
    <row r="206">
      <c r="A206" s="47" t="n"/>
      <c r="B206" s="68" t="n"/>
      <c r="C206" s="68" t="n"/>
      <c r="D206" s="68" t="n"/>
      <c r="E206" s="68" t="n"/>
      <c r="F206" s="68" t="n"/>
    </row>
    <row r="207">
      <c r="A207" s="47" t="n"/>
      <c r="B207" s="68" t="n"/>
      <c r="C207" s="68" t="n"/>
      <c r="D207" s="68" t="n"/>
      <c r="E207" s="68" t="n"/>
      <c r="F207" s="68" t="n"/>
    </row>
    <row r="208">
      <c r="A208" s="47" t="n"/>
      <c r="B208" s="68" t="n"/>
      <c r="C208" s="68" t="n"/>
      <c r="D208" s="68" t="n"/>
      <c r="E208" s="68" t="n"/>
      <c r="F208" s="68" t="n"/>
    </row>
    <row r="209">
      <c r="A209" s="47" t="n"/>
      <c r="B209" s="68" t="n"/>
      <c r="C209" s="68" t="n"/>
      <c r="D209" s="68" t="n"/>
      <c r="E209" s="68" t="n"/>
      <c r="F209" s="68" t="n"/>
    </row>
    <row r="210">
      <c r="A210" s="47" t="n"/>
      <c r="B210" s="68" t="n"/>
      <c r="C210" s="68" t="n"/>
      <c r="D210" s="68" t="n"/>
      <c r="E210" s="68" t="n"/>
      <c r="F210" s="68" t="n"/>
    </row>
    <row r="211">
      <c r="A211" s="47" t="n"/>
      <c r="B211" s="68" t="n"/>
      <c r="C211" s="68" t="n"/>
      <c r="D211" s="68" t="n"/>
      <c r="E211" s="68" t="n"/>
      <c r="F211" s="68" t="n"/>
    </row>
    <row r="212">
      <c r="A212" s="47" t="n"/>
      <c r="B212" s="68" t="n"/>
      <c r="C212" s="68" t="n"/>
      <c r="D212" s="68" t="n"/>
      <c r="E212" s="68" t="n"/>
      <c r="F212" s="68" t="n"/>
    </row>
    <row r="213">
      <c r="A213" s="47" t="n"/>
      <c r="B213" s="68" t="n"/>
      <c r="C213" s="68" t="n"/>
      <c r="D213" s="68" t="n"/>
      <c r="E213" s="68" t="n"/>
      <c r="F213" s="68" t="n"/>
    </row>
    <row r="214">
      <c r="A214" s="47" t="n"/>
      <c r="B214" s="68" t="n"/>
      <c r="C214" s="68" t="n"/>
      <c r="D214" s="68" t="n"/>
      <c r="E214" s="68" t="n"/>
      <c r="F214" s="68" t="n"/>
    </row>
    <row r="215">
      <c r="A215" s="47" t="n"/>
      <c r="B215" s="68" t="n"/>
      <c r="C215" s="68" t="n"/>
      <c r="D215" s="68" t="n"/>
      <c r="E215" s="68" t="n"/>
      <c r="F215" s="68" t="n"/>
    </row>
    <row r="216">
      <c r="A216" s="47" t="n"/>
      <c r="B216" s="68" t="n"/>
      <c r="C216" s="68" t="n"/>
      <c r="D216" s="68" t="n"/>
      <c r="E216" s="68" t="n"/>
      <c r="F216" s="68" t="n"/>
    </row>
    <row r="217">
      <c r="A217" s="47" t="n"/>
      <c r="B217" s="68" t="n"/>
      <c r="C217" s="68" t="n"/>
      <c r="D217" s="68" t="n"/>
      <c r="E217" s="68" t="n"/>
      <c r="F217" s="68" t="n"/>
    </row>
    <row r="218">
      <c r="A218" s="47" t="n"/>
      <c r="B218" s="68" t="n"/>
      <c r="C218" s="68" t="n"/>
      <c r="D218" s="68" t="n"/>
      <c r="E218" s="68" t="n"/>
      <c r="F218" s="68" t="n"/>
    </row>
    <row r="219">
      <c r="A219" s="47" t="n"/>
      <c r="B219" s="68" t="n"/>
      <c r="C219" s="68" t="n"/>
      <c r="D219" s="68" t="n"/>
      <c r="E219" s="68" t="n"/>
      <c r="F219" s="68" t="n"/>
    </row>
    <row r="220">
      <c r="A220" s="47" t="n"/>
      <c r="B220" s="68" t="n"/>
      <c r="C220" s="68" t="n"/>
      <c r="D220" s="68" t="n"/>
      <c r="E220" s="68" t="n"/>
      <c r="F220" s="68" t="n"/>
    </row>
    <row r="221">
      <c r="A221" s="47" t="n"/>
      <c r="B221" s="68" t="n"/>
      <c r="C221" s="68" t="n"/>
      <c r="D221" s="68" t="n"/>
      <c r="E221" s="68" t="n"/>
      <c r="F221" s="68" t="n"/>
    </row>
    <row r="222">
      <c r="A222" s="47" t="n"/>
      <c r="B222" s="68" t="n"/>
      <c r="C222" s="68" t="n"/>
      <c r="D222" s="68" t="n"/>
      <c r="E222" s="68" t="n"/>
      <c r="F222" s="68" t="n"/>
    </row>
    <row r="223">
      <c r="A223" s="47" t="n"/>
      <c r="B223" s="68" t="n"/>
      <c r="C223" s="68" t="n"/>
      <c r="D223" s="68" t="n"/>
      <c r="E223" s="68" t="n"/>
      <c r="F223" s="68" t="n"/>
    </row>
    <row r="224">
      <c r="A224" s="47" t="n"/>
      <c r="B224" s="68" t="n"/>
      <c r="C224" s="68" t="n"/>
      <c r="D224" s="68" t="n"/>
      <c r="E224" s="68" t="n"/>
      <c r="F224" s="68" t="n"/>
    </row>
    <row r="225">
      <c r="A225" s="47" t="n"/>
      <c r="B225" s="68" t="n"/>
      <c r="C225" s="68" t="n"/>
      <c r="D225" s="68" t="n"/>
      <c r="E225" s="68" t="n"/>
      <c r="F225" s="68" t="n"/>
    </row>
    <row r="226">
      <c r="A226" s="47" t="n"/>
      <c r="B226" s="68" t="n"/>
      <c r="C226" s="68" t="n"/>
      <c r="D226" s="68" t="n"/>
      <c r="E226" s="68" t="n"/>
      <c r="F226" s="68" t="n"/>
    </row>
    <row r="227">
      <c r="A227" s="47" t="n"/>
      <c r="B227" s="68" t="n"/>
      <c r="C227" s="68" t="n"/>
      <c r="D227" s="68" t="n"/>
      <c r="E227" s="68" t="n"/>
      <c r="F227" s="68" t="n"/>
    </row>
    <row r="228">
      <c r="A228" s="47" t="n"/>
      <c r="B228" s="68" t="n"/>
      <c r="C228" s="68" t="n"/>
      <c r="D228" s="68" t="n"/>
      <c r="E228" s="68" t="n"/>
      <c r="F228" s="68" t="n"/>
    </row>
    <row r="229">
      <c r="A229" s="47" t="n"/>
      <c r="B229" s="68" t="n"/>
      <c r="C229" s="68" t="n"/>
      <c r="D229" s="68" t="n"/>
      <c r="E229" s="68" t="n"/>
      <c r="F229" s="68" t="n"/>
    </row>
    <row r="230">
      <c r="A230" s="47" t="n"/>
      <c r="B230" s="68" t="n"/>
      <c r="C230" s="68" t="n"/>
      <c r="D230" s="68" t="n"/>
      <c r="E230" s="68" t="n"/>
      <c r="F230" s="68" t="n"/>
    </row>
    <row r="231">
      <c r="A231" s="47" t="n"/>
      <c r="B231" s="68" t="n"/>
      <c r="C231" s="68" t="n"/>
      <c r="D231" s="68" t="n"/>
      <c r="E231" s="68" t="n"/>
      <c r="F231" s="68" t="n"/>
    </row>
    <row r="232">
      <c r="A232" s="47" t="n"/>
      <c r="B232" s="68" t="n"/>
      <c r="C232" s="68" t="n"/>
      <c r="D232" s="68" t="n"/>
      <c r="E232" s="68" t="n"/>
      <c r="F232" s="68" t="n"/>
    </row>
    <row r="233">
      <c r="A233" s="47" t="n"/>
      <c r="B233" s="68" t="n"/>
      <c r="C233" s="68" t="n"/>
      <c r="D233" s="68" t="n"/>
      <c r="E233" s="68" t="n"/>
      <c r="F233" s="68" t="n"/>
    </row>
    <row r="234">
      <c r="A234" s="47" t="n"/>
      <c r="B234" s="68" t="n"/>
      <c r="C234" s="68" t="n"/>
      <c r="D234" s="68" t="n"/>
      <c r="E234" s="68" t="n"/>
      <c r="F234" s="68" t="n"/>
    </row>
    <row r="235">
      <c r="A235" s="47" t="n"/>
      <c r="B235" s="68" t="n"/>
      <c r="C235" s="68" t="n"/>
      <c r="D235" s="68" t="n"/>
      <c r="E235" s="68" t="n"/>
      <c r="F235" s="68" t="n"/>
    </row>
    <row r="236">
      <c r="A236" s="47" t="n"/>
      <c r="B236" s="68" t="n"/>
      <c r="C236" s="68" t="n"/>
      <c r="D236" s="68" t="n"/>
      <c r="E236" s="68" t="n"/>
      <c r="F236" s="68" t="n"/>
    </row>
    <row r="237">
      <c r="A237" s="47" t="n"/>
      <c r="B237" s="68" t="n"/>
      <c r="C237" s="68" t="n"/>
      <c r="D237" s="68" t="n"/>
      <c r="E237" s="68" t="n"/>
      <c r="F237" s="68" t="n"/>
    </row>
    <row r="238">
      <c r="A238" s="47" t="n"/>
      <c r="B238" s="68" t="n"/>
      <c r="C238" s="68" t="n"/>
      <c r="D238" s="68" t="n"/>
      <c r="E238" s="68" t="n"/>
      <c r="F238" s="68" t="n"/>
    </row>
    <row r="239">
      <c r="A239" s="47" t="n"/>
      <c r="B239" s="68" t="n"/>
      <c r="C239" s="68" t="n"/>
      <c r="D239" s="68" t="n"/>
      <c r="E239" s="68" t="n"/>
      <c r="F239" s="68" t="n"/>
    </row>
    <row r="240">
      <c r="A240" s="47" t="n"/>
      <c r="B240" s="68" t="n"/>
      <c r="C240" s="68" t="n"/>
      <c r="D240" s="68" t="n"/>
      <c r="E240" s="68" t="n"/>
      <c r="F240" s="68" t="n"/>
    </row>
    <row r="241">
      <c r="A241" s="47" t="n"/>
      <c r="B241" s="68" t="n"/>
      <c r="C241" s="68" t="n"/>
      <c r="D241" s="68" t="n"/>
      <c r="E241" s="68" t="n"/>
      <c r="F241" s="68" t="n"/>
    </row>
    <row r="242">
      <c r="A242" s="47" t="n"/>
      <c r="B242" s="68" t="n"/>
      <c r="C242" s="68" t="n"/>
      <c r="D242" s="68" t="n"/>
      <c r="E242" s="68" t="n"/>
      <c r="F242" s="68" t="n"/>
    </row>
    <row r="243">
      <c r="A243" s="47" t="n"/>
      <c r="B243" s="68" t="n"/>
      <c r="C243" s="68" t="n"/>
      <c r="D243" s="68" t="n"/>
      <c r="E243" s="68" t="n"/>
      <c r="F243" s="68" t="n"/>
    </row>
    <row r="244">
      <c r="A244" s="47" t="n"/>
      <c r="B244" s="68" t="n"/>
      <c r="C244" s="68" t="n"/>
      <c r="D244" s="68" t="n"/>
      <c r="E244" s="68" t="n"/>
      <c r="F244" s="68" t="n"/>
    </row>
    <row r="245">
      <c r="A245" s="47" t="n"/>
      <c r="B245" s="68" t="n"/>
      <c r="C245" s="68" t="n"/>
      <c r="D245" s="68" t="n"/>
      <c r="E245" s="68" t="n"/>
      <c r="F245" s="68" t="n"/>
    </row>
    <row r="246">
      <c r="A246" s="47" t="n"/>
      <c r="B246" s="68" t="n"/>
      <c r="C246" s="68" t="n"/>
      <c r="D246" s="68" t="n"/>
      <c r="E246" s="68" t="n"/>
      <c r="F246" s="68" t="n"/>
    </row>
    <row r="247">
      <c r="A247" s="47" t="n"/>
      <c r="B247" s="68" t="n"/>
      <c r="C247" s="68" t="n"/>
      <c r="D247" s="68" t="n"/>
      <c r="E247" s="68" t="n"/>
      <c r="F247" s="68" t="n"/>
    </row>
    <row r="248">
      <c r="A248" s="47" t="n"/>
      <c r="B248" s="68" t="n"/>
      <c r="C248" s="68" t="n"/>
      <c r="D248" s="68" t="n"/>
      <c r="E248" s="68" t="n"/>
      <c r="F248" s="68" t="n"/>
    </row>
    <row r="249">
      <c r="A249" s="47" t="n"/>
      <c r="B249" s="68" t="n"/>
      <c r="C249" s="68" t="n"/>
      <c r="D249" s="68" t="n"/>
      <c r="E249" s="68" t="n"/>
      <c r="F249" s="68" t="n"/>
    </row>
    <row r="250">
      <c r="A250" s="47" t="n"/>
      <c r="B250" s="68" t="n"/>
      <c r="C250" s="68" t="n"/>
      <c r="D250" s="68" t="n"/>
      <c r="E250" s="68" t="n"/>
      <c r="F250" s="68" t="n"/>
    </row>
    <row r="251">
      <c r="A251" s="47" t="n"/>
      <c r="B251" s="68" t="n"/>
      <c r="C251" s="68" t="n"/>
      <c r="D251" s="68" t="n"/>
      <c r="E251" s="68" t="n"/>
      <c r="F251" s="68" t="n"/>
    </row>
    <row r="252">
      <c r="A252" s="47" t="n"/>
      <c r="B252" s="68" t="n"/>
      <c r="C252" s="68" t="n"/>
      <c r="D252" s="68" t="n"/>
      <c r="E252" s="68" t="n"/>
      <c r="F252" s="68" t="n"/>
    </row>
    <row r="253">
      <c r="A253" s="47" t="n"/>
      <c r="B253" s="68" t="n"/>
      <c r="C253" s="68" t="n"/>
      <c r="D253" s="68" t="n"/>
      <c r="E253" s="68" t="n"/>
      <c r="F253" s="68" t="n"/>
    </row>
    <row r="254">
      <c r="A254" s="47" t="n"/>
      <c r="B254" s="68" t="n"/>
      <c r="C254" s="68" t="n"/>
      <c r="D254" s="68" t="n"/>
      <c r="E254" s="68" t="n"/>
      <c r="F254" s="68" t="n"/>
    </row>
    <row r="255">
      <c r="A255" s="47" t="n"/>
      <c r="B255" s="68" t="n"/>
      <c r="C255" s="68" t="n"/>
      <c r="D255" s="68" t="n"/>
      <c r="E255" s="68" t="n"/>
      <c r="F255" s="68" t="n"/>
    </row>
    <row r="256">
      <c r="A256" s="47" t="n"/>
      <c r="B256" s="68" t="n"/>
      <c r="C256" s="68" t="n"/>
      <c r="D256" s="68" t="n"/>
      <c r="E256" s="68" t="n"/>
      <c r="F256" s="68" t="n"/>
    </row>
    <row r="257">
      <c r="A257" s="47" t="n"/>
      <c r="B257" s="68" t="n"/>
      <c r="C257" s="68" t="n"/>
      <c r="D257" s="68" t="n"/>
      <c r="E257" s="68" t="n"/>
      <c r="F257" s="68" t="n"/>
    </row>
    <row r="258">
      <c r="A258" s="47" t="n"/>
      <c r="B258" s="68" t="n"/>
      <c r="C258" s="68" t="n"/>
      <c r="D258" s="68" t="n"/>
      <c r="E258" s="68" t="n"/>
      <c r="F258" s="68" t="n"/>
    </row>
    <row r="259">
      <c r="A259" s="47" t="n"/>
      <c r="B259" s="68" t="n"/>
      <c r="C259" s="68" t="n"/>
      <c r="D259" s="68" t="n"/>
      <c r="E259" s="68" t="n"/>
      <c r="F259" s="68" t="n"/>
    </row>
    <row r="260">
      <c r="A260" s="47" t="n"/>
      <c r="B260" s="68" t="n"/>
      <c r="C260" s="68" t="n"/>
      <c r="D260" s="68" t="n"/>
      <c r="E260" s="68" t="n"/>
      <c r="F260" s="68" t="n"/>
    </row>
    <row r="261">
      <c r="A261" s="47" t="n"/>
      <c r="B261" s="68" t="n"/>
      <c r="C261" s="68" t="n"/>
      <c r="D261" s="68" t="n"/>
      <c r="E261" s="68" t="n"/>
      <c r="F261" s="68" t="n"/>
    </row>
    <row r="262">
      <c r="A262" s="47" t="n"/>
      <c r="B262" s="68" t="n"/>
      <c r="C262" s="68" t="n"/>
      <c r="D262" s="68" t="n"/>
      <c r="E262" s="68" t="n"/>
      <c r="F262" s="68" t="n"/>
    </row>
    <row r="263">
      <c r="A263" s="47" t="n"/>
      <c r="B263" s="68" t="n"/>
      <c r="C263" s="68" t="n"/>
      <c r="D263" s="68" t="n"/>
      <c r="E263" s="68" t="n"/>
      <c r="F263" s="68" t="n"/>
    </row>
    <row r="264">
      <c r="A264" s="47" t="n"/>
      <c r="B264" s="68" t="n"/>
      <c r="C264" s="68" t="n"/>
      <c r="D264" s="68" t="n"/>
      <c r="E264" s="68" t="n"/>
      <c r="F264" s="68" t="n"/>
    </row>
    <row r="265">
      <c r="A265" s="47" t="n"/>
      <c r="B265" s="68" t="n"/>
      <c r="C265" s="68" t="n"/>
      <c r="D265" s="68" t="n"/>
      <c r="E265" s="68" t="n"/>
      <c r="F265" s="68" t="n"/>
    </row>
    <row r="266">
      <c r="A266" s="47" t="n"/>
      <c r="B266" s="68" t="n"/>
      <c r="C266" s="68" t="n"/>
      <c r="D266" s="68" t="n"/>
      <c r="E266" s="68" t="n"/>
      <c r="F266" s="68" t="n"/>
    </row>
    <row r="267">
      <c r="A267" s="47" t="n"/>
      <c r="B267" s="68" t="n"/>
      <c r="C267" s="68" t="n"/>
      <c r="D267" s="68" t="n"/>
      <c r="E267" s="68" t="n"/>
      <c r="F267" s="68" t="n"/>
    </row>
    <row r="268">
      <c r="A268" s="47" t="n"/>
      <c r="B268" s="68" t="n"/>
      <c r="C268" s="68" t="n"/>
      <c r="D268" s="68" t="n"/>
      <c r="E268" s="68" t="n"/>
      <c r="F268" s="68" t="n"/>
    </row>
    <row r="269">
      <c r="A269" s="47" t="n"/>
      <c r="B269" s="68" t="n"/>
      <c r="C269" s="68" t="n"/>
      <c r="D269" s="68" t="n"/>
      <c r="E269" s="68" t="n"/>
      <c r="F269" s="68" t="n"/>
    </row>
    <row r="270">
      <c r="A270" s="47" t="n"/>
      <c r="B270" s="68" t="n"/>
      <c r="C270" s="68" t="n"/>
      <c r="D270" s="68" t="n"/>
      <c r="E270" s="68" t="n"/>
      <c r="F270" s="68" t="n"/>
    </row>
    <row r="271">
      <c r="A271" s="47" t="n"/>
      <c r="B271" s="68" t="n"/>
      <c r="C271" s="68" t="n"/>
      <c r="D271" s="68" t="n"/>
      <c r="E271" s="68" t="n"/>
      <c r="F271" s="68" t="n"/>
    </row>
    <row r="272">
      <c r="A272" s="47" t="n"/>
      <c r="B272" s="68" t="n"/>
      <c r="C272" s="68" t="n"/>
      <c r="D272" s="68" t="n"/>
      <c r="E272" s="68" t="n"/>
      <c r="F272" s="68" t="n"/>
    </row>
    <row r="273">
      <c r="A273" s="47" t="n"/>
      <c r="B273" s="68" t="n"/>
      <c r="C273" s="68" t="n"/>
      <c r="D273" s="68" t="n"/>
      <c r="E273" s="68" t="n"/>
      <c r="F273" s="68" t="n"/>
    </row>
    <row r="274">
      <c r="A274" s="47" t="n"/>
      <c r="B274" s="68" t="n"/>
      <c r="C274" s="68" t="n"/>
      <c r="D274" s="68" t="n"/>
      <c r="E274" s="68" t="n"/>
      <c r="F274" s="68" t="n"/>
    </row>
    <row r="275">
      <c r="A275" s="47" t="n"/>
      <c r="B275" s="68" t="n"/>
      <c r="C275" s="68" t="n"/>
      <c r="D275" s="68" t="n"/>
      <c r="E275" s="68" t="n"/>
      <c r="F275" s="68" t="n"/>
    </row>
    <row r="276">
      <c r="A276" s="47" t="n"/>
      <c r="B276" s="68" t="n"/>
      <c r="C276" s="68" t="n"/>
      <c r="D276" s="68" t="n"/>
      <c r="E276" s="68" t="n"/>
      <c r="F276" s="68" t="n"/>
    </row>
    <row r="277">
      <c r="A277" s="47" t="n"/>
      <c r="B277" s="68" t="n"/>
      <c r="C277" s="68" t="n"/>
      <c r="D277" s="68" t="n"/>
      <c r="E277" s="68" t="n"/>
      <c r="F277" s="68" t="n"/>
    </row>
    <row r="278">
      <c r="A278" s="47" t="n"/>
      <c r="B278" s="68" t="n"/>
      <c r="C278" s="68" t="n"/>
      <c r="D278" s="68" t="n"/>
      <c r="E278" s="68" t="n"/>
      <c r="F278" s="68" t="n"/>
    </row>
    <row r="279">
      <c r="A279" s="47" t="n"/>
      <c r="B279" s="68" t="n"/>
      <c r="C279" s="68" t="n"/>
      <c r="D279" s="68" t="n"/>
      <c r="E279" s="68" t="n"/>
      <c r="F279" s="68" t="n"/>
    </row>
    <row r="280">
      <c r="A280" s="47" t="n"/>
      <c r="B280" s="68" t="n"/>
      <c r="C280" s="68" t="n"/>
      <c r="D280" s="68" t="n"/>
      <c r="E280" s="68" t="n"/>
      <c r="F280" s="68" t="n"/>
    </row>
    <row r="281">
      <c r="A281" s="47" t="n"/>
      <c r="B281" s="68" t="n"/>
      <c r="C281" s="68" t="n"/>
      <c r="D281" s="68" t="n"/>
      <c r="E281" s="68" t="n"/>
      <c r="F281" s="68" t="n"/>
    </row>
    <row r="282">
      <c r="A282" s="47" t="n"/>
      <c r="B282" s="68" t="n"/>
      <c r="C282" s="68" t="n"/>
      <c r="D282" s="68" t="n"/>
      <c r="E282" s="68" t="n"/>
      <c r="F282" s="68" t="n"/>
    </row>
    <row r="283">
      <c r="A283" s="47" t="n"/>
      <c r="B283" s="68" t="n"/>
      <c r="C283" s="68" t="n"/>
      <c r="D283" s="68" t="n"/>
      <c r="E283" s="68" t="n"/>
      <c r="F283" s="68" t="n"/>
    </row>
    <row r="284">
      <c r="A284" s="47" t="n"/>
      <c r="B284" s="68" t="n"/>
      <c r="C284" s="68" t="n"/>
      <c r="D284" s="68" t="n"/>
      <c r="E284" s="68" t="n"/>
      <c r="F284" s="68" t="n"/>
    </row>
    <row r="285">
      <c r="A285" s="47" t="n"/>
      <c r="B285" s="68" t="n"/>
      <c r="C285" s="68" t="n"/>
      <c r="D285" s="68" t="n"/>
      <c r="E285" s="68" t="n"/>
      <c r="F285" s="68" t="n"/>
    </row>
    <row r="286">
      <c r="A286" s="47" t="n"/>
      <c r="B286" s="68" t="n"/>
      <c r="C286" s="68" t="n"/>
      <c r="D286" s="68" t="n"/>
      <c r="E286" s="68" t="n"/>
      <c r="F286" s="68" t="n"/>
    </row>
    <row r="287">
      <c r="A287" s="47" t="n"/>
      <c r="B287" s="68" t="n"/>
      <c r="C287" s="68" t="n"/>
      <c r="D287" s="68" t="n"/>
      <c r="E287" s="68" t="n"/>
      <c r="F287" s="68" t="n"/>
    </row>
    <row r="288">
      <c r="A288" s="47" t="n"/>
      <c r="B288" s="68" t="n"/>
      <c r="C288" s="68" t="n"/>
      <c r="D288" s="68" t="n"/>
      <c r="E288" s="68" t="n"/>
      <c r="F288" s="68" t="n"/>
    </row>
    <row r="289">
      <c r="A289" s="47" t="n"/>
      <c r="B289" s="68" t="n"/>
      <c r="C289" s="68" t="n"/>
      <c r="D289" s="68" t="n"/>
      <c r="E289" s="68" t="n"/>
      <c r="F289" s="68" t="n"/>
    </row>
    <row r="290">
      <c r="A290" s="47" t="n"/>
      <c r="B290" s="68" t="n"/>
      <c r="C290" s="68" t="n"/>
      <c r="D290" s="68" t="n"/>
      <c r="E290" s="68" t="n"/>
      <c r="F290" s="68" t="n"/>
    </row>
    <row r="291">
      <c r="A291" s="47" t="n"/>
      <c r="B291" s="68" t="n"/>
      <c r="C291" s="68" t="n"/>
      <c r="D291" s="68" t="n"/>
      <c r="E291" s="68" t="n"/>
      <c r="F291" s="68" t="n"/>
    </row>
    <row r="292">
      <c r="A292" s="47" t="n"/>
      <c r="B292" s="68" t="n"/>
      <c r="C292" s="68" t="n"/>
      <c r="D292" s="68" t="n"/>
      <c r="E292" s="68" t="n"/>
      <c r="F292" s="68" t="n"/>
    </row>
    <row r="293">
      <c r="A293" s="47" t="n"/>
      <c r="B293" s="68" t="n"/>
      <c r="C293" s="68" t="n"/>
      <c r="D293" s="68" t="n"/>
      <c r="E293" s="68" t="n"/>
      <c r="F293" s="68" t="n"/>
    </row>
    <row r="294">
      <c r="A294" s="47" t="n"/>
      <c r="B294" s="68" t="n"/>
      <c r="C294" s="68" t="n"/>
      <c r="D294" s="68" t="n"/>
      <c r="E294" s="68" t="n"/>
      <c r="F294" s="68" t="n"/>
    </row>
    <row r="295">
      <c r="A295" s="47" t="n"/>
      <c r="B295" s="68" t="n"/>
      <c r="C295" s="68" t="n"/>
      <c r="D295" s="68" t="n"/>
      <c r="E295" s="68" t="n"/>
      <c r="F295" s="68" t="n"/>
    </row>
    <row r="296">
      <c r="A296" s="47" t="n"/>
      <c r="B296" s="68" t="n"/>
      <c r="C296" s="68" t="n"/>
      <c r="D296" s="68" t="n"/>
      <c r="E296" s="68" t="n"/>
      <c r="F296" s="68" t="n"/>
    </row>
    <row r="297">
      <c r="A297" s="47" t="n"/>
      <c r="B297" s="68" t="n"/>
      <c r="C297" s="68" t="n"/>
      <c r="D297" s="68" t="n"/>
      <c r="E297" s="68" t="n"/>
      <c r="F297" s="68" t="n"/>
    </row>
    <row r="298">
      <c r="A298" s="47" t="n"/>
      <c r="B298" s="68" t="n"/>
      <c r="C298" s="68" t="n"/>
      <c r="D298" s="68" t="n"/>
      <c r="E298" s="68" t="n"/>
      <c r="F298" s="68" t="n"/>
    </row>
    <row r="299">
      <c r="A299" s="47" t="n"/>
      <c r="B299" s="68" t="n"/>
      <c r="C299" s="68" t="n"/>
      <c r="D299" s="68" t="n"/>
      <c r="E299" s="68" t="n"/>
      <c r="F299" s="68" t="n"/>
    </row>
    <row r="300">
      <c r="A300" s="47" t="n"/>
      <c r="B300" s="68" t="n"/>
      <c r="C300" s="68" t="n"/>
      <c r="D300" s="68" t="n"/>
      <c r="E300" s="68" t="n"/>
      <c r="F300" s="68" t="n"/>
    </row>
    <row r="301">
      <c r="A301" s="47" t="n"/>
      <c r="B301" s="68" t="n"/>
      <c r="C301" s="68" t="n"/>
      <c r="D301" s="68" t="n"/>
      <c r="E301" s="68" t="n"/>
      <c r="F301" s="68" t="n"/>
    </row>
    <row r="302">
      <c r="A302" s="47" t="n"/>
      <c r="B302" s="68" t="n"/>
      <c r="C302" s="68" t="n"/>
      <c r="D302" s="68" t="n"/>
      <c r="E302" s="68" t="n"/>
      <c r="F302" s="68" t="n"/>
    </row>
    <row r="303">
      <c r="A303" s="47" t="n"/>
      <c r="B303" s="68" t="n"/>
      <c r="C303" s="68" t="n"/>
      <c r="D303" s="68" t="n"/>
      <c r="E303" s="68" t="n"/>
      <c r="F303" s="68" t="n"/>
    </row>
    <row r="304">
      <c r="A304" s="47" t="n"/>
      <c r="B304" s="68" t="n"/>
      <c r="C304" s="68" t="n"/>
      <c r="D304" s="68" t="n"/>
      <c r="E304" s="68" t="n"/>
      <c r="F304" s="68" t="n"/>
    </row>
    <row r="305">
      <c r="A305" s="47" t="n"/>
      <c r="B305" s="68" t="n"/>
      <c r="C305" s="68" t="n"/>
      <c r="D305" s="68" t="n"/>
      <c r="E305" s="68" t="n"/>
      <c r="F305" s="68" t="n"/>
    </row>
    <row r="306">
      <c r="A306" s="47" t="n"/>
      <c r="B306" s="68" t="n"/>
      <c r="C306" s="68" t="n"/>
      <c r="D306" s="68" t="n"/>
      <c r="E306" s="68" t="n"/>
      <c r="F306" s="68" t="n"/>
    </row>
    <row r="307">
      <c r="A307" s="47" t="n"/>
      <c r="B307" s="68" t="n"/>
      <c r="C307" s="68" t="n"/>
      <c r="D307" s="68" t="n"/>
      <c r="E307" s="68" t="n"/>
      <c r="F307" s="68" t="n"/>
    </row>
    <row r="308">
      <c r="A308" s="47" t="n"/>
      <c r="B308" s="68" t="n"/>
      <c r="C308" s="68" t="n"/>
      <c r="D308" s="68" t="n"/>
      <c r="E308" s="68" t="n"/>
      <c r="F308" s="68" t="n"/>
    </row>
    <row r="309">
      <c r="A309" s="47" t="n"/>
      <c r="B309" s="68" t="n"/>
      <c r="C309" s="68" t="n"/>
      <c r="D309" s="68" t="n"/>
      <c r="E309" s="68" t="n"/>
      <c r="F309" s="68" t="n"/>
    </row>
    <row r="310">
      <c r="A310" s="47" t="n"/>
      <c r="B310" s="68" t="n"/>
      <c r="C310" s="68" t="n"/>
      <c r="D310" s="68" t="n"/>
      <c r="E310" s="68" t="n"/>
      <c r="F310" s="68" t="n"/>
    </row>
    <row r="311">
      <c r="A311" s="47" t="n"/>
      <c r="B311" s="68" t="n"/>
      <c r="C311" s="68" t="n"/>
      <c r="D311" s="68" t="n"/>
      <c r="E311" s="68" t="n"/>
      <c r="F311" s="68" t="n"/>
    </row>
    <row r="312">
      <c r="A312" s="47" t="n"/>
      <c r="B312" s="68" t="n"/>
      <c r="C312" s="68" t="n"/>
      <c r="D312" s="68" t="n"/>
      <c r="E312" s="68" t="n"/>
      <c r="F312" s="68" t="n"/>
    </row>
    <row r="313">
      <c r="A313" s="47" t="n"/>
      <c r="B313" s="68" t="n"/>
      <c r="C313" s="68" t="n"/>
      <c r="D313" s="68" t="n"/>
      <c r="E313" s="68" t="n"/>
      <c r="F313" s="68" t="n"/>
    </row>
    <row r="314">
      <c r="A314" s="47" t="n"/>
      <c r="B314" s="68" t="n"/>
      <c r="C314" s="68" t="n"/>
      <c r="D314" s="68" t="n"/>
      <c r="E314" s="68" t="n"/>
      <c r="F314" s="68" t="n"/>
    </row>
    <row r="315">
      <c r="A315" s="47" t="n"/>
      <c r="B315" s="68" t="n"/>
      <c r="C315" s="68" t="n"/>
      <c r="D315" s="68" t="n"/>
      <c r="E315" s="68" t="n"/>
      <c r="F315" s="68" t="n"/>
    </row>
    <row r="316">
      <c r="A316" s="47" t="n"/>
      <c r="B316" s="68" t="n"/>
      <c r="C316" s="68" t="n"/>
      <c r="D316" s="68" t="n"/>
      <c r="E316" s="68" t="n"/>
      <c r="F316" s="68" t="n"/>
    </row>
    <row r="317">
      <c r="A317" s="47" t="n"/>
      <c r="B317" s="68" t="n"/>
      <c r="C317" s="68" t="n"/>
      <c r="D317" s="68" t="n"/>
      <c r="E317" s="68" t="n"/>
      <c r="F317" s="68" t="n"/>
    </row>
    <row r="318">
      <c r="A318" s="47" t="n"/>
      <c r="B318" s="68" t="n"/>
      <c r="C318" s="68" t="n"/>
      <c r="D318" s="68" t="n"/>
      <c r="E318" s="68" t="n"/>
      <c r="F318" s="68" t="n"/>
    </row>
    <row r="319">
      <c r="A319" s="47" t="n"/>
      <c r="B319" s="68" t="n"/>
      <c r="C319" s="68" t="n"/>
      <c r="D319" s="68" t="n"/>
      <c r="E319" s="68" t="n"/>
      <c r="F319" s="68" t="n"/>
    </row>
    <row r="320">
      <c r="A320" s="47" t="n"/>
      <c r="B320" s="68" t="n"/>
      <c r="C320" s="68" t="n"/>
      <c r="D320" s="68" t="n"/>
      <c r="E320" s="68" t="n"/>
      <c r="F320" s="68" t="n"/>
    </row>
    <row r="321">
      <c r="A321" s="47" t="n"/>
      <c r="B321" s="68" t="n"/>
      <c r="C321" s="68" t="n"/>
      <c r="D321" s="68" t="n"/>
      <c r="E321" s="68" t="n"/>
      <c r="F321" s="68" t="n"/>
    </row>
    <row r="322">
      <c r="A322" s="47" t="n"/>
      <c r="B322" s="68" t="n"/>
      <c r="C322" s="68" t="n"/>
      <c r="D322" s="68" t="n"/>
      <c r="E322" s="68" t="n"/>
      <c r="F322" s="68" t="n"/>
    </row>
    <row r="323">
      <c r="A323" s="47" t="n"/>
      <c r="B323" s="68" t="n"/>
      <c r="C323" s="68" t="n"/>
      <c r="D323" s="68" t="n"/>
      <c r="E323" s="68" t="n"/>
      <c r="F323" s="68" t="n"/>
    </row>
    <row r="324">
      <c r="A324" s="47" t="n"/>
      <c r="B324" s="68" t="n"/>
      <c r="C324" s="68" t="n"/>
      <c r="D324" s="68" t="n"/>
      <c r="E324" s="68" t="n"/>
      <c r="F324" s="68" t="n"/>
    </row>
    <row r="325">
      <c r="A325" s="47" t="n"/>
      <c r="B325" s="68" t="n"/>
      <c r="C325" s="68" t="n"/>
      <c r="D325" s="68" t="n"/>
      <c r="E325" s="68" t="n"/>
      <c r="F325" s="68" t="n"/>
    </row>
    <row r="326">
      <c r="A326" s="47" t="n"/>
      <c r="B326" s="68" t="n"/>
      <c r="C326" s="68" t="n"/>
      <c r="D326" s="68" t="n"/>
      <c r="E326" s="68" t="n"/>
      <c r="F326" s="68" t="n"/>
    </row>
    <row r="327">
      <c r="A327" s="47" t="n"/>
      <c r="B327" s="68" t="n"/>
      <c r="C327" s="68" t="n"/>
      <c r="D327" s="68" t="n"/>
      <c r="E327" s="68" t="n"/>
      <c r="F327" s="68" t="n"/>
    </row>
    <row r="328">
      <c r="A328" s="47" t="n"/>
      <c r="B328" s="68" t="n"/>
      <c r="C328" s="68" t="n"/>
      <c r="D328" s="68" t="n"/>
      <c r="E328" s="68" t="n"/>
      <c r="F328" s="68" t="n"/>
    </row>
    <row r="329">
      <c r="A329" s="47" t="n"/>
      <c r="B329" s="68" t="n"/>
      <c r="C329" s="68" t="n"/>
      <c r="D329" s="68" t="n"/>
      <c r="E329" s="68" t="n"/>
      <c r="F329" s="68" t="n"/>
    </row>
    <row r="330">
      <c r="A330" s="47" t="n"/>
      <c r="B330" s="68" t="n"/>
      <c r="C330" s="68" t="n"/>
      <c r="D330" s="68" t="n"/>
      <c r="E330" s="68" t="n"/>
      <c r="F330" s="68" t="n"/>
    </row>
    <row r="331">
      <c r="A331" s="47" t="n"/>
      <c r="B331" s="68" t="n"/>
      <c r="C331" s="68" t="n"/>
      <c r="D331" s="68" t="n"/>
      <c r="E331" s="68" t="n"/>
      <c r="F331" s="68" t="n"/>
    </row>
    <row r="332">
      <c r="A332" s="47" t="n"/>
      <c r="B332" s="68" t="n"/>
      <c r="C332" s="68" t="n"/>
      <c r="D332" s="68" t="n"/>
      <c r="E332" s="68" t="n"/>
      <c r="F332" s="68" t="n"/>
    </row>
    <row r="333">
      <c r="A333" s="47" t="n"/>
      <c r="B333" s="68" t="n"/>
      <c r="C333" s="68" t="n"/>
      <c r="D333" s="68" t="n"/>
      <c r="E333" s="68" t="n"/>
      <c r="F333" s="68" t="n"/>
    </row>
    <row r="334">
      <c r="A334" s="47" t="n"/>
      <c r="B334" s="68" t="n"/>
      <c r="C334" s="68" t="n"/>
      <c r="D334" s="68" t="n"/>
      <c r="E334" s="68" t="n"/>
      <c r="F334" s="68" t="n"/>
    </row>
    <row r="335">
      <c r="A335" s="47" t="n"/>
      <c r="B335" s="68" t="n"/>
      <c r="C335" s="68" t="n"/>
      <c r="D335" s="68" t="n"/>
      <c r="E335" s="68" t="n"/>
      <c r="F335" s="68" t="n"/>
    </row>
    <row r="336">
      <c r="A336" s="47" t="n"/>
      <c r="B336" s="68" t="n"/>
      <c r="C336" s="68" t="n"/>
      <c r="D336" s="68" t="n"/>
      <c r="E336" s="68" t="n"/>
      <c r="F336" s="68" t="n"/>
    </row>
    <row r="337">
      <c r="A337" s="47" t="n"/>
      <c r="B337" s="68" t="n"/>
      <c r="C337" s="68" t="n"/>
      <c r="D337" s="68" t="n"/>
      <c r="E337" s="68" t="n"/>
      <c r="F337" s="68" t="n"/>
    </row>
    <row r="338">
      <c r="A338" s="47" t="n"/>
      <c r="B338" s="68" t="n"/>
      <c r="C338" s="68" t="n"/>
      <c r="D338" s="68" t="n"/>
      <c r="E338" s="68" t="n"/>
      <c r="F338" s="68" t="n"/>
    </row>
    <row r="339">
      <c r="A339" s="47" t="n"/>
      <c r="B339" s="68" t="n"/>
      <c r="C339" s="68" t="n"/>
      <c r="D339" s="68" t="n"/>
      <c r="E339" s="68" t="n"/>
      <c r="F339" s="68" t="n"/>
    </row>
    <row r="340">
      <c r="A340" s="47" t="n"/>
      <c r="B340" s="68" t="n"/>
      <c r="C340" s="68" t="n"/>
      <c r="D340" s="68" t="n"/>
      <c r="E340" s="68" t="n"/>
      <c r="F340" s="68" t="n"/>
    </row>
    <row r="341">
      <c r="A341" s="47" t="n"/>
      <c r="B341" s="68" t="n"/>
      <c r="C341" s="68" t="n"/>
      <c r="D341" s="68" t="n"/>
      <c r="E341" s="68" t="n"/>
      <c r="F341" s="68" t="n"/>
    </row>
    <row r="342">
      <c r="A342" s="47" t="n"/>
      <c r="B342" s="68" t="n"/>
      <c r="C342" s="68" t="n"/>
      <c r="D342" s="68" t="n"/>
      <c r="E342" s="68" t="n"/>
      <c r="F342" s="68" t="n"/>
    </row>
    <row r="343">
      <c r="A343" s="47" t="n"/>
      <c r="B343" s="68" t="n"/>
      <c r="C343" s="68" t="n"/>
      <c r="D343" s="68" t="n"/>
      <c r="E343" s="68" t="n"/>
      <c r="F343" s="68" t="n"/>
    </row>
    <row r="344">
      <c r="A344" s="47" t="n"/>
      <c r="B344" s="68" t="n"/>
      <c r="C344" s="68" t="n"/>
      <c r="D344" s="68" t="n"/>
      <c r="E344" s="68" t="n"/>
      <c r="F344" s="68" t="n"/>
    </row>
    <row r="345">
      <c r="A345" s="47" t="n"/>
      <c r="B345" s="68" t="n"/>
      <c r="C345" s="68" t="n"/>
      <c r="D345" s="68" t="n"/>
      <c r="E345" s="68" t="n"/>
      <c r="F345" s="68" t="n"/>
    </row>
    <row r="346">
      <c r="A346" s="47" t="n"/>
      <c r="B346" s="68" t="n"/>
      <c r="C346" s="68" t="n"/>
      <c r="D346" s="68" t="n"/>
      <c r="E346" s="68" t="n"/>
      <c r="F346" s="68" t="n"/>
    </row>
    <row r="347">
      <c r="A347" s="47" t="n"/>
      <c r="B347" s="68" t="n"/>
      <c r="C347" s="68" t="n"/>
      <c r="D347" s="68" t="n"/>
      <c r="E347" s="68" t="n"/>
      <c r="F347" s="68" t="n"/>
    </row>
    <row r="348">
      <c r="A348" s="47" t="n"/>
      <c r="B348" s="68" t="n"/>
      <c r="C348" s="68" t="n"/>
      <c r="D348" s="68" t="n"/>
      <c r="E348" s="68" t="n"/>
      <c r="F348" s="68" t="n"/>
    </row>
    <row r="349">
      <c r="A349" s="47" t="n"/>
      <c r="B349" s="68" t="n"/>
      <c r="C349" s="68" t="n"/>
      <c r="D349" s="68" t="n"/>
      <c r="E349" s="68" t="n"/>
      <c r="F349" s="68" t="n"/>
    </row>
    <row r="350">
      <c r="A350" s="47" t="n"/>
      <c r="B350" s="68" t="n"/>
      <c r="C350" s="68" t="n"/>
      <c r="D350" s="68" t="n"/>
      <c r="E350" s="68" t="n"/>
      <c r="F350" s="68" t="n"/>
    </row>
    <row r="351">
      <c r="A351" s="47" t="n"/>
      <c r="B351" s="68" t="n"/>
      <c r="C351" s="68" t="n"/>
      <c r="D351" s="68" t="n"/>
      <c r="E351" s="68" t="n"/>
      <c r="F351" s="68" t="n"/>
    </row>
    <row r="352">
      <c r="A352" s="47" t="n"/>
      <c r="B352" s="68" t="n"/>
      <c r="C352" s="68" t="n"/>
      <c r="D352" s="68" t="n"/>
      <c r="E352" s="68" t="n"/>
      <c r="F352" s="68" t="n"/>
    </row>
    <row r="353">
      <c r="A353" s="47" t="n"/>
      <c r="B353" s="68" t="n"/>
      <c r="C353" s="68" t="n"/>
      <c r="D353" s="68" t="n"/>
      <c r="E353" s="68" t="n"/>
      <c r="F353" s="68" t="n"/>
    </row>
    <row r="354">
      <c r="A354" s="47" t="n"/>
      <c r="B354" s="68" t="n"/>
      <c r="C354" s="68" t="n"/>
      <c r="D354" s="68" t="n"/>
      <c r="E354" s="68" t="n"/>
      <c r="F354" s="68" t="n"/>
    </row>
    <row r="355">
      <c r="A355" s="47" t="n"/>
      <c r="B355" s="68" t="n"/>
      <c r="C355" s="68" t="n"/>
      <c r="D355" s="68" t="n"/>
      <c r="E355" s="68" t="n"/>
      <c r="F355" s="68" t="n"/>
    </row>
    <row r="356">
      <c r="A356" s="47" t="n"/>
      <c r="B356" s="68" t="n"/>
      <c r="C356" s="68" t="n"/>
      <c r="D356" s="68" t="n"/>
      <c r="E356" s="68" t="n"/>
      <c r="F356" s="68" t="n"/>
    </row>
    <row r="357">
      <c r="A357" s="47" t="n"/>
      <c r="B357" s="68" t="n"/>
      <c r="C357" s="68" t="n"/>
      <c r="D357" s="68" t="n"/>
      <c r="E357" s="68" t="n"/>
      <c r="F357" s="68" t="n"/>
    </row>
    <row r="358">
      <c r="A358" s="47" t="n"/>
      <c r="B358" s="68" t="n"/>
      <c r="C358" s="68" t="n"/>
      <c r="D358" s="68" t="n"/>
      <c r="E358" s="68" t="n"/>
      <c r="F358" s="68" t="n"/>
    </row>
    <row r="359">
      <c r="A359" s="47" t="n"/>
      <c r="B359" s="68" t="n"/>
      <c r="C359" s="68" t="n"/>
      <c r="D359" s="68" t="n"/>
      <c r="E359" s="68" t="n"/>
      <c r="F359" s="68" t="n"/>
    </row>
    <row r="360">
      <c r="A360" s="47" t="n"/>
      <c r="B360" s="68" t="n"/>
      <c r="C360" s="68" t="n"/>
      <c r="D360" s="68" t="n"/>
      <c r="E360" s="68" t="n"/>
      <c r="F360" s="68" t="n"/>
    </row>
    <row r="361">
      <c r="A361" s="47" t="n"/>
      <c r="B361" s="68" t="n"/>
      <c r="C361" s="68" t="n"/>
      <c r="D361" s="68" t="n"/>
      <c r="E361" s="68" t="n"/>
      <c r="F361" s="68" t="n"/>
    </row>
    <row r="362">
      <c r="A362" s="47" t="n"/>
      <c r="B362" s="68" t="n"/>
      <c r="C362" s="68" t="n"/>
      <c r="D362" s="68" t="n"/>
      <c r="E362" s="68" t="n"/>
      <c r="F362" s="68" t="n"/>
    </row>
    <row r="363">
      <c r="A363" s="47" t="n"/>
      <c r="B363" s="68" t="n"/>
      <c r="C363" s="68" t="n"/>
      <c r="D363" s="68" t="n"/>
      <c r="E363" s="68" t="n"/>
      <c r="F363" s="68" t="n"/>
    </row>
    <row r="364">
      <c r="A364" s="47" t="n"/>
      <c r="B364" s="68" t="n"/>
      <c r="C364" s="68" t="n"/>
      <c r="D364" s="68" t="n"/>
      <c r="E364" s="68" t="n"/>
      <c r="F364" s="68" t="n"/>
    </row>
    <row r="365">
      <c r="A365" s="47" t="n"/>
      <c r="B365" s="68" t="n"/>
      <c r="C365" s="68" t="n"/>
      <c r="D365" s="68" t="n"/>
      <c r="E365" s="68" t="n"/>
      <c r="F365" s="68" t="n"/>
    </row>
    <row r="366">
      <c r="A366" s="47" t="n"/>
      <c r="B366" s="68" t="n"/>
      <c r="C366" s="68" t="n"/>
      <c r="D366" s="68" t="n"/>
      <c r="E366" s="68" t="n"/>
      <c r="F366" s="68" t="n"/>
    </row>
    <row r="367">
      <c r="A367" s="47" t="n"/>
      <c r="B367" s="68" t="n"/>
      <c r="C367" s="68" t="n"/>
      <c r="D367" s="68" t="n"/>
      <c r="E367" s="68" t="n"/>
      <c r="F367" s="68" t="n"/>
    </row>
    <row r="368">
      <c r="A368" s="47" t="n"/>
      <c r="B368" s="68" t="n"/>
      <c r="C368" s="68" t="n"/>
      <c r="D368" s="68" t="n"/>
      <c r="E368" s="68" t="n"/>
      <c r="F368" s="68" t="n"/>
    </row>
    <row r="369">
      <c r="A369" s="47" t="n"/>
      <c r="B369" s="68" t="n"/>
      <c r="C369" s="68" t="n"/>
      <c r="D369" s="68" t="n"/>
      <c r="E369" s="68" t="n"/>
      <c r="F369" s="68" t="n"/>
    </row>
    <row r="370">
      <c r="A370" s="47" t="n"/>
      <c r="B370" s="68" t="n"/>
      <c r="C370" s="68" t="n"/>
      <c r="D370" s="68" t="n"/>
      <c r="E370" s="68" t="n"/>
      <c r="F370" s="68" t="n"/>
    </row>
    <row r="371">
      <c r="A371" s="47" t="n"/>
      <c r="B371" s="68" t="n"/>
      <c r="C371" s="68" t="n"/>
      <c r="D371" s="68" t="n"/>
      <c r="E371" s="68" t="n"/>
      <c r="F371" s="68" t="n"/>
    </row>
    <row r="372">
      <c r="A372" s="47" t="n"/>
      <c r="B372" s="68" t="n"/>
      <c r="C372" s="68" t="n"/>
      <c r="D372" s="68" t="n"/>
      <c r="E372" s="68" t="n"/>
      <c r="F372" s="68" t="n"/>
    </row>
    <row r="373">
      <c r="A373" s="47" t="n"/>
      <c r="B373" s="68" t="n"/>
      <c r="C373" s="68" t="n"/>
      <c r="D373" s="68" t="n"/>
      <c r="E373" s="68" t="n"/>
      <c r="F373" s="68" t="n"/>
    </row>
    <row r="374">
      <c r="A374" s="47" t="n"/>
      <c r="B374" s="68" t="n"/>
      <c r="C374" s="68" t="n"/>
      <c r="D374" s="68" t="n"/>
      <c r="E374" s="68" t="n"/>
      <c r="F374" s="68" t="n"/>
    </row>
    <row r="375">
      <c r="A375" s="47" t="n"/>
      <c r="B375" s="68" t="n"/>
      <c r="C375" s="68" t="n"/>
      <c r="D375" s="68" t="n"/>
      <c r="E375" s="68" t="n"/>
      <c r="F375" s="68" t="n"/>
    </row>
    <row r="376">
      <c r="A376" s="47" t="n"/>
      <c r="B376" s="68" t="n"/>
      <c r="C376" s="68" t="n"/>
      <c r="D376" s="68" t="n"/>
      <c r="E376" s="68" t="n"/>
      <c r="F376" s="68" t="n"/>
    </row>
    <row r="377">
      <c r="A377" s="47" t="n"/>
      <c r="B377" s="68" t="n"/>
      <c r="C377" s="68" t="n"/>
      <c r="D377" s="68" t="n"/>
      <c r="E377" s="68" t="n"/>
      <c r="F377" s="68" t="n"/>
    </row>
    <row r="378">
      <c r="A378" s="47" t="n"/>
      <c r="B378" s="68" t="n"/>
      <c r="C378" s="68" t="n"/>
      <c r="D378" s="68" t="n"/>
      <c r="E378" s="68" t="n"/>
      <c r="F378" s="68" t="n"/>
    </row>
    <row r="379">
      <c r="A379" s="47" t="n"/>
      <c r="B379" s="68" t="n"/>
      <c r="C379" s="68" t="n"/>
      <c r="D379" s="68" t="n"/>
      <c r="E379" s="68" t="n"/>
      <c r="F379" s="68" t="n"/>
    </row>
    <row r="380">
      <c r="A380" s="47" t="n"/>
      <c r="B380" s="68" t="n"/>
      <c r="C380" s="68" t="n"/>
      <c r="D380" s="68" t="n"/>
      <c r="E380" s="68" t="n"/>
      <c r="F380" s="68" t="n"/>
    </row>
    <row r="381">
      <c r="A381" s="47" t="n"/>
      <c r="B381" s="68" t="n"/>
      <c r="C381" s="68" t="n"/>
      <c r="D381" s="68" t="n"/>
      <c r="E381" s="68" t="n"/>
      <c r="F381" s="68" t="n"/>
    </row>
    <row r="382">
      <c r="A382" s="47" t="n"/>
      <c r="B382" s="68" t="n"/>
      <c r="C382" s="68" t="n"/>
      <c r="D382" s="68" t="n"/>
      <c r="E382" s="68" t="n"/>
      <c r="F382" s="68" t="n"/>
    </row>
    <row r="383">
      <c r="A383" s="47" t="n"/>
      <c r="B383" s="68" t="n"/>
      <c r="C383" s="68" t="n"/>
      <c r="D383" s="68" t="n"/>
      <c r="E383" s="68" t="n"/>
      <c r="F383" s="68" t="n"/>
    </row>
    <row r="384">
      <c r="A384" s="47" t="n"/>
      <c r="B384" s="68" t="n"/>
      <c r="C384" s="68" t="n"/>
      <c r="D384" s="68" t="n"/>
      <c r="E384" s="68" t="n"/>
      <c r="F384" s="68" t="n"/>
    </row>
    <row r="385">
      <c r="A385" s="47" t="n"/>
      <c r="B385" s="68" t="n"/>
      <c r="C385" s="68" t="n"/>
      <c r="D385" s="68" t="n"/>
      <c r="E385" s="68" t="n"/>
      <c r="F385" s="68" t="n"/>
    </row>
    <row r="386">
      <c r="A386" s="47" t="n"/>
      <c r="B386" s="68" t="n"/>
      <c r="C386" s="68" t="n"/>
      <c r="D386" s="68" t="n"/>
      <c r="E386" s="68" t="n"/>
      <c r="F386" s="68" t="n"/>
    </row>
    <row r="387">
      <c r="A387" s="47" t="n"/>
      <c r="B387" s="68" t="n"/>
      <c r="C387" s="68" t="n"/>
      <c r="D387" s="68" t="n"/>
      <c r="E387" s="68" t="n"/>
      <c r="F387" s="68" t="n"/>
    </row>
    <row r="388">
      <c r="A388" s="47" t="n"/>
      <c r="B388" s="68" t="n"/>
      <c r="C388" s="68" t="n"/>
      <c r="D388" s="68" t="n"/>
      <c r="E388" s="68" t="n"/>
      <c r="F388" s="68" t="n"/>
    </row>
    <row r="389">
      <c r="A389" s="47" t="n"/>
      <c r="B389" s="68" t="n"/>
      <c r="C389" s="68" t="n"/>
      <c r="D389" s="68" t="n"/>
      <c r="E389" s="68" t="n"/>
      <c r="F389" s="68" t="n"/>
    </row>
    <row r="390">
      <c r="A390" s="47" t="n"/>
      <c r="B390" s="68" t="n"/>
      <c r="C390" s="68" t="n"/>
      <c r="D390" s="68" t="n"/>
      <c r="E390" s="68" t="n"/>
      <c r="F390" s="68" t="n"/>
    </row>
    <row r="391">
      <c r="A391" s="47" t="n"/>
      <c r="B391" s="68" t="n"/>
      <c r="C391" s="68" t="n"/>
      <c r="D391" s="68" t="n"/>
      <c r="E391" s="68" t="n"/>
      <c r="F391" s="68" t="n"/>
    </row>
    <row r="392">
      <c r="A392" s="47" t="n"/>
      <c r="B392" s="68" t="n"/>
      <c r="C392" s="68" t="n"/>
      <c r="D392" s="68" t="n"/>
      <c r="E392" s="68" t="n"/>
      <c r="F392" s="68" t="n"/>
    </row>
    <row r="393">
      <c r="A393" s="47" t="n"/>
      <c r="B393" s="68" t="n"/>
      <c r="C393" s="68" t="n"/>
      <c r="D393" s="68" t="n"/>
      <c r="E393" s="68" t="n"/>
      <c r="F393" s="68" t="n"/>
    </row>
    <row r="394">
      <c r="A394" s="47" t="n"/>
      <c r="B394" s="68" t="n"/>
      <c r="C394" s="68" t="n"/>
      <c r="D394" s="68" t="n"/>
      <c r="E394" s="68" t="n"/>
      <c r="F394" s="68" t="n"/>
    </row>
    <row r="395">
      <c r="A395" s="47" t="n"/>
      <c r="B395" s="68" t="n"/>
      <c r="C395" s="68" t="n"/>
      <c r="D395" s="68" t="n"/>
      <c r="E395" s="68" t="n"/>
      <c r="F395" s="68" t="n"/>
    </row>
    <row r="396">
      <c r="A396" s="47" t="n"/>
      <c r="B396" s="68" t="n"/>
      <c r="C396" s="68" t="n"/>
      <c r="D396" s="68" t="n"/>
      <c r="E396" s="68" t="n"/>
      <c r="F396" s="68" t="n"/>
    </row>
    <row r="397">
      <c r="A397" s="47" t="n"/>
      <c r="B397" s="68" t="n"/>
      <c r="C397" s="68" t="n"/>
      <c r="D397" s="68" t="n"/>
      <c r="E397" s="68" t="n"/>
      <c r="F397" s="68" t="n"/>
    </row>
    <row r="398">
      <c r="A398" s="47" t="n"/>
      <c r="B398" s="68" t="n"/>
      <c r="C398" s="68" t="n"/>
      <c r="D398" s="68" t="n"/>
      <c r="E398" s="68" t="n"/>
      <c r="F398" s="68" t="n"/>
    </row>
    <row r="399">
      <c r="A399" s="47" t="n"/>
      <c r="B399" s="68" t="n"/>
      <c r="C399" s="68" t="n"/>
      <c r="D399" s="68" t="n"/>
      <c r="E399" s="68" t="n"/>
      <c r="F399" s="68" t="n"/>
    </row>
    <row r="400">
      <c r="A400" s="47" t="n"/>
      <c r="B400" s="68" t="n"/>
      <c r="C400" s="68" t="n"/>
      <c r="D400" s="68" t="n"/>
      <c r="E400" s="68" t="n"/>
      <c r="F400" s="68" t="n"/>
    </row>
    <row r="401">
      <c r="A401" s="47" t="n"/>
      <c r="B401" s="68" t="n"/>
      <c r="C401" s="68" t="n"/>
      <c r="D401" s="68" t="n"/>
      <c r="E401" s="68" t="n"/>
      <c r="F401" s="68" t="n"/>
    </row>
    <row r="402">
      <c r="A402" s="47" t="n"/>
      <c r="B402" s="68" t="n"/>
      <c r="C402" s="68" t="n"/>
      <c r="D402" s="68" t="n"/>
      <c r="E402" s="68" t="n"/>
      <c r="F402" s="68" t="n"/>
    </row>
    <row r="403">
      <c r="A403" s="47" t="n"/>
      <c r="B403" s="68" t="n"/>
      <c r="C403" s="68" t="n"/>
      <c r="D403" s="68" t="n"/>
      <c r="E403" s="68" t="n"/>
      <c r="F403" s="68" t="n"/>
    </row>
    <row r="404">
      <c r="A404" s="47" t="n"/>
      <c r="B404" s="68" t="n"/>
      <c r="C404" s="68" t="n"/>
      <c r="D404" s="68" t="n"/>
      <c r="E404" s="68" t="n"/>
      <c r="F404" s="68" t="n"/>
    </row>
    <row r="405">
      <c r="A405" s="47" t="n"/>
      <c r="B405" s="68" t="n"/>
      <c r="C405" s="68" t="n"/>
      <c r="D405" s="68" t="n"/>
      <c r="E405" s="68" t="n"/>
      <c r="F405" s="68" t="n"/>
    </row>
    <row r="406">
      <c r="A406" s="47" t="n"/>
      <c r="B406" s="68" t="n"/>
      <c r="C406" s="68" t="n"/>
      <c r="D406" s="68" t="n"/>
      <c r="E406" s="68" t="n"/>
      <c r="F406" s="68" t="n"/>
    </row>
    <row r="407">
      <c r="A407" s="47" t="n"/>
      <c r="B407" s="68" t="n"/>
      <c r="C407" s="68" t="n"/>
      <c r="D407" s="68" t="n"/>
      <c r="E407" s="68" t="n"/>
      <c r="F407" s="68" t="n"/>
    </row>
    <row r="408">
      <c r="A408" s="47" t="n"/>
      <c r="B408" s="68" t="n"/>
      <c r="C408" s="68" t="n"/>
      <c r="D408" s="68" t="n"/>
      <c r="E408" s="68" t="n"/>
      <c r="F408" s="68" t="n"/>
    </row>
    <row r="409">
      <c r="A409" s="47" t="n"/>
      <c r="B409" s="68" t="n"/>
      <c r="C409" s="68" t="n"/>
      <c r="D409" s="68" t="n"/>
      <c r="E409" s="68" t="n"/>
      <c r="F409" s="68" t="n"/>
    </row>
    <row r="410">
      <c r="A410" s="47" t="n"/>
      <c r="B410" s="68" t="n"/>
      <c r="C410" s="68" t="n"/>
      <c r="D410" s="68" t="n"/>
      <c r="E410" s="68" t="n"/>
      <c r="F410" s="68" t="n"/>
    </row>
    <row r="411">
      <c r="A411" s="47" t="n"/>
      <c r="B411" s="68" t="n"/>
      <c r="C411" s="68" t="n"/>
      <c r="D411" s="68" t="n"/>
      <c r="E411" s="68" t="n"/>
      <c r="F411" s="68" t="n"/>
    </row>
    <row r="412">
      <c r="A412" s="47" t="n"/>
      <c r="B412" s="68" t="n"/>
      <c r="C412" s="68" t="n"/>
      <c r="D412" s="68" t="n"/>
      <c r="E412" s="68" t="n"/>
      <c r="F412" s="68" t="n"/>
    </row>
    <row r="413">
      <c r="A413" s="47" t="n"/>
      <c r="B413" s="68" t="n"/>
      <c r="C413" s="68" t="n"/>
      <c r="D413" s="68" t="n"/>
      <c r="E413" s="68" t="n"/>
      <c r="F413" s="68" t="n"/>
    </row>
    <row r="414">
      <c r="A414" s="47" t="n"/>
      <c r="B414" s="68" t="n"/>
      <c r="C414" s="68" t="n"/>
      <c r="D414" s="68" t="n"/>
      <c r="E414" s="68" t="n"/>
      <c r="F414" s="68" t="n"/>
    </row>
    <row r="415">
      <c r="A415" s="47" t="n"/>
      <c r="B415" s="68" t="n"/>
      <c r="C415" s="68" t="n"/>
      <c r="D415" s="68" t="n"/>
      <c r="E415" s="68" t="n"/>
      <c r="F415" s="68" t="n"/>
    </row>
    <row r="416">
      <c r="A416" s="47" t="n"/>
      <c r="B416" s="68" t="n"/>
      <c r="C416" s="68" t="n"/>
      <c r="D416" s="68" t="n"/>
      <c r="E416" s="68" t="n"/>
      <c r="F416" s="68" t="n"/>
    </row>
    <row r="417">
      <c r="A417" s="47" t="n"/>
      <c r="B417" s="68" t="n"/>
      <c r="C417" s="68" t="n"/>
      <c r="D417" s="68" t="n"/>
      <c r="E417" s="68" t="n"/>
      <c r="F417" s="68" t="n"/>
    </row>
    <row r="418">
      <c r="A418" s="47" t="n"/>
      <c r="B418" s="68" t="n"/>
      <c r="C418" s="68" t="n"/>
      <c r="D418" s="68" t="n"/>
      <c r="E418" s="68" t="n"/>
      <c r="F418" s="68" t="n"/>
    </row>
    <row r="419">
      <c r="A419" s="47" t="n"/>
      <c r="B419" s="68" t="n"/>
      <c r="C419" s="68" t="n"/>
      <c r="D419" s="68" t="n"/>
      <c r="E419" s="68" t="n"/>
      <c r="F419" s="68" t="n"/>
    </row>
    <row r="420">
      <c r="A420" s="47" t="n"/>
      <c r="B420" s="68" t="n"/>
      <c r="C420" s="68" t="n"/>
      <c r="D420" s="68" t="n"/>
      <c r="E420" s="68" t="n"/>
      <c r="F420" s="68" t="n"/>
    </row>
    <row r="421">
      <c r="A421" s="47" t="n"/>
      <c r="B421" s="68" t="n"/>
      <c r="C421" s="68" t="n"/>
      <c r="D421" s="68" t="n"/>
      <c r="E421" s="68" t="n"/>
      <c r="F421" s="68" t="n"/>
    </row>
    <row r="422">
      <c r="A422" s="47" t="n"/>
      <c r="B422" s="68" t="n"/>
      <c r="C422" s="68" t="n"/>
      <c r="D422" s="68" t="n"/>
      <c r="E422" s="68" t="n"/>
      <c r="F422" s="68" t="n"/>
    </row>
    <row r="423">
      <c r="A423" s="47" t="n"/>
      <c r="B423" s="68" t="n"/>
      <c r="C423" s="68" t="n"/>
      <c r="D423" s="68" t="n"/>
      <c r="E423" s="68" t="n"/>
      <c r="F423" s="68" t="n"/>
    </row>
    <row r="424">
      <c r="A424" s="47" t="n"/>
      <c r="B424" s="68" t="n"/>
      <c r="C424" s="68" t="n"/>
      <c r="D424" s="68" t="n"/>
      <c r="E424" s="68" t="n"/>
      <c r="F424" s="68" t="n"/>
    </row>
    <row r="425">
      <c r="A425" s="47" t="n"/>
      <c r="B425" s="68" t="n"/>
      <c r="C425" s="68" t="n"/>
      <c r="D425" s="68" t="n"/>
      <c r="E425" s="68" t="n"/>
      <c r="F425" s="68" t="n"/>
    </row>
    <row r="426">
      <c r="A426" s="47" t="n"/>
      <c r="B426" s="68" t="n"/>
      <c r="C426" s="68" t="n"/>
      <c r="D426" s="68" t="n"/>
      <c r="E426" s="68" t="n"/>
      <c r="F426" s="68" t="n"/>
    </row>
    <row r="427">
      <c r="A427" s="47" t="n"/>
      <c r="B427" s="68" t="n"/>
      <c r="C427" s="68" t="n"/>
      <c r="D427" s="68" t="n"/>
      <c r="E427" s="68" t="n"/>
      <c r="F427" s="68" t="n"/>
    </row>
    <row r="428">
      <c r="A428" s="47" t="n"/>
      <c r="B428" s="68" t="n"/>
      <c r="C428" s="68" t="n"/>
      <c r="D428" s="68" t="n"/>
      <c r="E428" s="68" t="n"/>
      <c r="F428" s="68" t="n"/>
    </row>
    <row r="429">
      <c r="A429" s="47" t="n"/>
      <c r="B429" s="68" t="n"/>
      <c r="C429" s="68" t="n"/>
      <c r="D429" s="68" t="n"/>
      <c r="E429" s="68" t="n"/>
      <c r="F429" s="68" t="n"/>
    </row>
    <row r="430">
      <c r="A430" s="47" t="n"/>
      <c r="B430" s="68" t="n"/>
      <c r="C430" s="68" t="n"/>
      <c r="D430" s="68" t="n"/>
      <c r="E430" s="68" t="n"/>
      <c r="F430" s="68" t="n"/>
    </row>
    <row r="431">
      <c r="A431" s="47" t="n"/>
      <c r="B431" s="68" t="n"/>
      <c r="C431" s="68" t="n"/>
      <c r="D431" s="68" t="n"/>
      <c r="E431" s="68" t="n"/>
      <c r="F431" s="68" t="n"/>
    </row>
    <row r="432">
      <c r="A432" s="47" t="n"/>
      <c r="B432" s="68" t="n"/>
      <c r="C432" s="68" t="n"/>
      <c r="D432" s="68" t="n"/>
      <c r="E432" s="68" t="n"/>
      <c r="F432" s="68" t="n"/>
    </row>
    <row r="433">
      <c r="A433" s="47" t="n"/>
      <c r="B433" s="68" t="n"/>
      <c r="C433" s="68" t="n"/>
      <c r="D433" s="68" t="n"/>
      <c r="E433" s="68" t="n"/>
      <c r="F433" s="68" t="n"/>
    </row>
    <row r="434">
      <c r="A434" s="47" t="n"/>
      <c r="B434" s="68" t="n"/>
      <c r="C434" s="68" t="n"/>
      <c r="D434" s="68" t="n"/>
      <c r="E434" s="68" t="n"/>
      <c r="F434" s="68" t="n"/>
    </row>
    <row r="435">
      <c r="A435" s="47" t="n"/>
      <c r="B435" s="68" t="n"/>
      <c r="C435" s="68" t="n"/>
      <c r="D435" s="68" t="n"/>
      <c r="E435" s="68" t="n"/>
      <c r="F435" s="68" t="n"/>
    </row>
    <row r="436">
      <c r="A436" s="47" t="n"/>
      <c r="B436" s="68" t="n"/>
      <c r="C436" s="68" t="n"/>
      <c r="D436" s="68" t="n"/>
      <c r="E436" s="68" t="n"/>
      <c r="F436" s="68" t="n"/>
    </row>
    <row r="437">
      <c r="A437" s="47" t="n"/>
      <c r="B437" s="68" t="n"/>
      <c r="C437" s="68" t="n"/>
      <c r="D437" s="68" t="n"/>
      <c r="E437" s="68" t="n"/>
      <c r="F437" s="68" t="n"/>
    </row>
    <row r="438">
      <c r="A438" s="47" t="n"/>
      <c r="B438" s="68" t="n"/>
      <c r="C438" s="68" t="n"/>
      <c r="D438" s="68" t="n"/>
      <c r="E438" s="68" t="n"/>
      <c r="F438" s="68" t="n"/>
    </row>
    <row r="439">
      <c r="A439" s="47" t="n"/>
      <c r="B439" s="68" t="n"/>
      <c r="C439" s="68" t="n"/>
      <c r="D439" s="68" t="n"/>
      <c r="E439" s="68" t="n"/>
      <c r="F439" s="68" t="n"/>
    </row>
    <row r="440">
      <c r="A440" s="47" t="n"/>
      <c r="B440" s="68" t="n"/>
      <c r="C440" s="68" t="n"/>
      <c r="D440" s="68" t="n"/>
      <c r="E440" s="68" t="n"/>
      <c r="F440" s="68" t="n"/>
    </row>
    <row r="441">
      <c r="A441" s="47" t="n"/>
      <c r="B441" s="68" t="n"/>
      <c r="C441" s="68" t="n"/>
      <c r="D441" s="68" t="n"/>
      <c r="E441" s="68" t="n"/>
      <c r="F441" s="68" t="n"/>
    </row>
    <row r="442">
      <c r="A442" s="47" t="n"/>
      <c r="B442" s="68" t="n"/>
      <c r="C442" s="68" t="n"/>
      <c r="D442" s="68" t="n"/>
      <c r="E442" s="68" t="n"/>
      <c r="F442" s="68" t="n"/>
    </row>
    <row r="443">
      <c r="A443" s="47" t="n"/>
      <c r="B443" s="68" t="n"/>
      <c r="C443" s="68" t="n"/>
      <c r="D443" s="68" t="n"/>
      <c r="E443" s="68" t="n"/>
      <c r="F443" s="68" t="n"/>
    </row>
    <row r="444">
      <c r="A444" s="47" t="n"/>
      <c r="B444" s="68" t="n"/>
      <c r="C444" s="68" t="n"/>
      <c r="D444" s="68" t="n"/>
      <c r="E444" s="68" t="n"/>
      <c r="F444" s="68" t="n"/>
    </row>
    <row r="445">
      <c r="A445" s="47" t="n"/>
      <c r="B445" s="68" t="n"/>
      <c r="C445" s="68" t="n"/>
      <c r="D445" s="68" t="n"/>
      <c r="E445" s="68" t="n"/>
      <c r="F445" s="68" t="n"/>
    </row>
    <row r="446">
      <c r="A446" s="47" t="n"/>
      <c r="B446" s="68" t="n"/>
      <c r="C446" s="68" t="n"/>
      <c r="D446" s="68" t="n"/>
      <c r="E446" s="68" t="n"/>
      <c r="F446" s="68" t="n"/>
    </row>
    <row r="447">
      <c r="A447" s="47" t="n"/>
      <c r="B447" s="68" t="n"/>
      <c r="C447" s="68" t="n"/>
      <c r="D447" s="68" t="n"/>
      <c r="E447" s="68" t="n"/>
      <c r="F447" s="68" t="n"/>
    </row>
    <row r="448">
      <c r="A448" s="47" t="n"/>
      <c r="B448" s="68" t="n"/>
      <c r="C448" s="68" t="n"/>
      <c r="D448" s="68" t="n"/>
      <c r="E448" s="68" t="n"/>
      <c r="F448" s="68" t="n"/>
    </row>
    <row r="449">
      <c r="A449" s="47" t="n"/>
      <c r="B449" s="68" t="n"/>
      <c r="C449" s="68" t="n"/>
      <c r="D449" s="68" t="n"/>
      <c r="E449" s="68" t="n"/>
      <c r="F449" s="68" t="n"/>
    </row>
    <row r="450">
      <c r="A450" s="47" t="n"/>
      <c r="B450" s="68" t="n"/>
      <c r="C450" s="68" t="n"/>
      <c r="D450" s="68" t="n"/>
      <c r="E450" s="68" t="n"/>
      <c r="F450" s="68" t="n"/>
    </row>
    <row r="451">
      <c r="A451" s="47" t="n"/>
      <c r="B451" s="68" t="n"/>
      <c r="C451" s="68" t="n"/>
      <c r="D451" s="68" t="n"/>
      <c r="E451" s="68" t="n"/>
      <c r="F451" s="68" t="n"/>
    </row>
    <row r="452">
      <c r="A452" s="47" t="n"/>
      <c r="B452" s="68" t="n"/>
      <c r="C452" s="68" t="n"/>
      <c r="D452" s="68" t="n"/>
      <c r="E452" s="68" t="n"/>
      <c r="F452" s="68" t="n"/>
    </row>
    <row r="453">
      <c r="A453" s="47" t="n"/>
      <c r="B453" s="68" t="n"/>
      <c r="C453" s="68" t="n"/>
      <c r="D453" s="68" t="n"/>
      <c r="E453" s="68" t="n"/>
      <c r="F453" s="68" t="n"/>
    </row>
    <row r="454">
      <c r="A454" s="47" t="n"/>
      <c r="B454" s="68" t="n"/>
      <c r="C454" s="68" t="n"/>
      <c r="D454" s="68" t="n"/>
      <c r="E454" s="68" t="n"/>
      <c r="F454" s="68" t="n"/>
    </row>
    <row r="455">
      <c r="A455" s="47" t="n"/>
      <c r="B455" s="68" t="n"/>
      <c r="C455" s="68" t="n"/>
      <c r="D455" s="68" t="n"/>
      <c r="E455" s="68" t="n"/>
      <c r="F455" s="68" t="n"/>
    </row>
    <row r="456">
      <c r="A456" s="47" t="n"/>
      <c r="B456" s="68" t="n"/>
      <c r="C456" s="68" t="n"/>
      <c r="D456" s="68" t="n"/>
      <c r="E456" s="68" t="n"/>
      <c r="F456" s="68" t="n"/>
    </row>
    <row r="457">
      <c r="A457" s="47" t="n"/>
      <c r="B457" s="68" t="n"/>
      <c r="C457" s="68" t="n"/>
      <c r="D457" s="68" t="n"/>
      <c r="E457" s="68" t="n"/>
      <c r="F457" s="68" t="n"/>
    </row>
    <row r="458">
      <c r="A458" s="47" t="n"/>
      <c r="B458" s="68" t="n"/>
      <c r="C458" s="68" t="n"/>
      <c r="D458" s="68" t="n"/>
      <c r="E458" s="68" t="n"/>
      <c r="F458" s="68" t="n"/>
    </row>
    <row r="459">
      <c r="A459" s="47" t="n"/>
      <c r="B459" s="68" t="n"/>
      <c r="C459" s="68" t="n"/>
      <c r="D459" s="68" t="n"/>
      <c r="E459" s="68" t="n"/>
      <c r="F459" s="68" t="n"/>
    </row>
    <row r="460">
      <c r="A460" s="47" t="n"/>
      <c r="B460" s="68" t="n"/>
      <c r="C460" s="68" t="n"/>
      <c r="D460" s="68" t="n"/>
      <c r="E460" s="68" t="n"/>
      <c r="F460" s="68" t="n"/>
    </row>
  </sheetData>
  <pageMargins left="0.27" right="0.32" top="0.4" bottom="0.8" header="0.5" footer="0.5"/>
  <pageSetup orientation="portrait" paperSize="9" scale="9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4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品號</t>
        </is>
      </c>
      <c r="B1" s="75" t="inlineStr">
        <is>
          <t>機型</t>
        </is>
      </c>
      <c r="C1" s="75" t="inlineStr">
        <is>
          <t>素材</t>
        </is>
      </c>
      <c r="D1" s="75" t="inlineStr">
        <is>
          <t>製程4</t>
        </is>
      </c>
      <c r="E1" s="75" t="inlineStr">
        <is>
          <t>製程3成品</t>
        </is>
      </c>
      <c r="F1" s="75" t="inlineStr">
        <is>
          <t>研磨成品</t>
        </is>
      </c>
      <c r="G1" s="75" t="inlineStr">
        <is>
          <t>報廢品</t>
        </is>
      </c>
      <c r="H1" s="75" t="inlineStr">
        <is>
          <t>總數</t>
        </is>
      </c>
      <c r="I1" s="75" t="inlineStr">
        <is>
          <t>預扣件</t>
        </is>
      </c>
      <c r="J1" s="75" t="inlineStr">
        <is>
          <t>報廢品.1</t>
        </is>
      </c>
      <c r="K1" s="75" t="inlineStr">
        <is>
          <t>研-09-09</t>
        </is>
      </c>
      <c r="L1" s="75" t="inlineStr">
        <is>
          <t>Unnamed: 11</t>
        </is>
      </c>
      <c r="M1" s="75" t="inlineStr">
        <is>
          <t>Unnamed: 12</t>
        </is>
      </c>
      <c r="N1" s="75" t="inlineStr">
        <is>
          <t>已開單</t>
        </is>
      </c>
      <c r="O1" s="75" t="inlineStr">
        <is>
          <t>Unnamed: 14</t>
        </is>
      </c>
    </row>
    <row r="2">
      <c r="A2" s="47" t="n">
        <v>8810001322</v>
      </c>
      <c r="B2" s="47" t="inlineStr">
        <is>
          <t>HSA-2212</t>
        </is>
      </c>
      <c r="C2" s="47" t="n">
        <v>0</v>
      </c>
      <c r="D2" s="47" t="n">
        <v>1</v>
      </c>
      <c r="E2" s="47" t="n">
        <v>1</v>
      </c>
      <c r="F2" s="47" t="n">
        <v>0</v>
      </c>
      <c r="G2" s="47" t="inlineStr"/>
      <c r="H2" s="47" t="n">
        <v>2</v>
      </c>
      <c r="I2" s="47" t="inlineStr"/>
      <c r="J2" s="47" t="inlineStr"/>
      <c r="K2" s="47" t="n">
        <v>3</v>
      </c>
      <c r="L2" s="47" t="inlineStr"/>
      <c r="M2" s="47" t="inlineStr"/>
      <c r="N2" s="47" t="inlineStr"/>
      <c r="O2" s="47" t="inlineStr"/>
    </row>
    <row r="3">
      <c r="A3" s="47" t="n">
        <v>8810001323</v>
      </c>
      <c r="B3" s="47" t="inlineStr">
        <is>
          <t>HSA-2212(一體式-200H)</t>
        </is>
      </c>
      <c r="C3" s="47" t="n">
        <v>0</v>
      </c>
      <c r="D3" s="47" t="n">
        <v>0</v>
      </c>
      <c r="E3" s="47" t="n">
        <v>0</v>
      </c>
      <c r="F3" s="47" t="n">
        <v>0</v>
      </c>
      <c r="G3" s="47" t="inlineStr"/>
      <c r="H3" s="47" t="inlineStr"/>
      <c r="I3" s="47" t="inlineStr"/>
      <c r="J3" s="47" t="inlineStr"/>
      <c r="K3" s="47" t="inlineStr"/>
      <c r="L3" s="47" t="inlineStr"/>
      <c r="M3" s="47" t="inlineStr"/>
      <c r="N3" s="47" t="inlineStr"/>
      <c r="O3" s="47" t="inlineStr"/>
    </row>
    <row r="4">
      <c r="A4" s="47" t="n">
        <v>8810001324</v>
      </c>
      <c r="B4" s="47" t="inlineStr">
        <is>
          <t>HSA-3212</t>
        </is>
      </c>
      <c r="C4" s="47" t="n">
        <v>0</v>
      </c>
      <c r="D4" s="47" t="n">
        <v>0</v>
      </c>
      <c r="E4" s="47" t="n">
        <v>0</v>
      </c>
      <c r="F4" s="47" t="n">
        <v>0</v>
      </c>
      <c r="G4" s="47" t="inlineStr"/>
      <c r="H4" s="47" t="n">
        <v>0</v>
      </c>
      <c r="I4" s="47" t="inlineStr"/>
      <c r="J4" s="47" t="inlineStr"/>
      <c r="K4" s="47" t="inlineStr"/>
      <c r="L4" s="47" t="inlineStr"/>
      <c r="M4" s="47" t="inlineStr"/>
      <c r="N4" s="47" t="inlineStr"/>
      <c r="O4" s="47" t="inlineStr"/>
    </row>
    <row r="5">
      <c r="A5" s="47" t="n">
        <v>8810001205</v>
      </c>
      <c r="B5" s="47" t="inlineStr">
        <is>
          <t>HEP-2150</t>
        </is>
      </c>
      <c r="C5" s="47" t="n">
        <v>0</v>
      </c>
      <c r="D5" s="47" t="n">
        <v>0</v>
      </c>
      <c r="E5" s="47" t="n">
        <v>0</v>
      </c>
      <c r="F5" s="47" t="n">
        <v>0</v>
      </c>
      <c r="G5" s="47" t="inlineStr"/>
      <c r="H5" s="47" t="inlineStr"/>
      <c r="I5" s="47" t="inlineStr"/>
      <c r="J5" s="47" t="inlineStr"/>
      <c r="K5" s="47" t="inlineStr"/>
      <c r="L5" s="47" t="inlineStr">
        <is>
          <t>HEP-2150</t>
        </is>
      </c>
      <c r="M5" s="47" t="inlineStr"/>
      <c r="N5" s="47" t="inlineStr"/>
      <c r="O5" s="47" t="inlineStr"/>
    </row>
    <row r="6">
      <c r="A6" s="47" t="n">
        <v>8810001442</v>
      </c>
      <c r="B6" s="47" t="inlineStr">
        <is>
          <t>HEP-2150(一體式-標準)</t>
        </is>
      </c>
      <c r="C6" s="47" t="n">
        <v>0</v>
      </c>
      <c r="D6" s="47" t="n">
        <v>0</v>
      </c>
      <c r="E6" s="47" t="n">
        <v>0</v>
      </c>
      <c r="F6" s="47" t="n">
        <v>0</v>
      </c>
      <c r="G6" s="47" t="inlineStr"/>
      <c r="H6" s="47" t="inlineStr"/>
      <c r="I6" s="47" t="inlineStr"/>
      <c r="J6" s="47" t="inlineStr"/>
      <c r="K6" s="47" t="inlineStr"/>
      <c r="L6" s="47" t="inlineStr"/>
      <c r="M6" s="47" t="inlineStr"/>
      <c r="N6" s="47" t="inlineStr"/>
      <c r="O6" s="47" t="inlineStr"/>
    </row>
    <row r="7">
      <c r="A7" s="47" t="n">
        <v>8810001490</v>
      </c>
      <c r="B7" s="47" t="inlineStr">
        <is>
          <t>HSA-216(一體式-標準)</t>
        </is>
      </c>
      <c r="C7" s="47" t="n">
        <v>0</v>
      </c>
      <c r="D7" s="47" t="n">
        <v>0</v>
      </c>
      <c r="E7" s="47" t="n">
        <v>0</v>
      </c>
      <c r="F7" s="47" t="n">
        <v>4</v>
      </c>
      <c r="G7" s="47" t="inlineStr"/>
      <c r="H7" s="47" t="n">
        <v>4</v>
      </c>
      <c r="I7" s="47" t="inlineStr"/>
      <c r="J7" s="47" t="inlineStr"/>
      <c r="K7" s="47" t="n">
        <v>4</v>
      </c>
      <c r="L7" s="47" t="inlineStr"/>
      <c r="M7" s="47" t="inlineStr"/>
      <c r="N7" s="47" t="inlineStr"/>
      <c r="O7" s="47" t="inlineStr"/>
    </row>
    <row r="8">
      <c r="A8" s="47" t="n">
        <v>8810001492</v>
      </c>
      <c r="B8" s="47" t="inlineStr">
        <is>
          <t>HEP-216(一體式-100H)</t>
        </is>
      </c>
      <c r="C8" s="47" t="n">
        <v>0</v>
      </c>
      <c r="D8" s="47" t="n">
        <v>0</v>
      </c>
      <c r="E8" s="47" t="n">
        <v>0</v>
      </c>
      <c r="F8" s="47" t="n">
        <v>0</v>
      </c>
      <c r="G8" s="47" t="inlineStr"/>
      <c r="H8" s="47" t="inlineStr"/>
      <c r="I8" s="47" t="inlineStr"/>
      <c r="J8" s="47" t="inlineStr"/>
      <c r="K8" s="47" t="inlineStr"/>
      <c r="L8" s="47" t="inlineStr"/>
      <c r="M8" s="47" t="inlineStr"/>
      <c r="N8" s="47" t="inlineStr"/>
      <c r="O8" s="47" t="inlineStr"/>
    </row>
    <row r="9">
      <c r="A9" s="47" t="n">
        <v>8810001494</v>
      </c>
      <c r="B9" s="47" t="inlineStr">
        <is>
          <t>HEP-216(一體式-200H)</t>
        </is>
      </c>
      <c r="C9" s="47" t="n">
        <v>0</v>
      </c>
      <c r="D9" s="47" t="n">
        <v>0</v>
      </c>
      <c r="E9" s="47" t="n">
        <v>0</v>
      </c>
      <c r="F9" s="47" t="n">
        <v>0</v>
      </c>
      <c r="G9" s="47" t="inlineStr"/>
      <c r="H9" s="47" t="inlineStr"/>
      <c r="I9" s="47" t="inlineStr"/>
      <c r="J9" s="47" t="inlineStr"/>
      <c r="K9" s="47" t="inlineStr"/>
      <c r="L9" s="47" t="inlineStr"/>
      <c r="M9" s="47" t="inlineStr"/>
      <c r="N9" s="47" t="inlineStr"/>
      <c r="O9" s="47" t="inlineStr"/>
    </row>
    <row r="10">
      <c r="A10" s="47" t="n">
        <v>8810001080</v>
      </c>
      <c r="B10" s="47" t="inlineStr">
        <is>
          <t>HEP-3150</t>
        </is>
      </c>
      <c r="C10" s="47" t="n">
        <v>0</v>
      </c>
      <c r="D10" s="47" t="n">
        <v>0</v>
      </c>
      <c r="E10" s="47" t="n">
        <v>0</v>
      </c>
      <c r="F10" s="47" t="n">
        <v>0</v>
      </c>
      <c r="G10" s="47" t="inlineStr"/>
      <c r="H10" s="47" t="inlineStr"/>
      <c r="I10" s="47" t="inlineStr"/>
      <c r="J10" s="47" t="inlineStr"/>
      <c r="K10" s="47" t="inlineStr"/>
      <c r="L10" s="47" t="inlineStr">
        <is>
          <t>HEP-3150</t>
        </is>
      </c>
      <c r="M10" s="47" t="inlineStr"/>
      <c r="N10" s="47" t="inlineStr"/>
      <c r="O10" s="47" t="inlineStr"/>
    </row>
    <row r="11">
      <c r="A11" s="47" t="n">
        <v>8810001445</v>
      </c>
      <c r="B11" s="47" t="inlineStr">
        <is>
          <t>HEP-3150(一體式-Z-80)</t>
        </is>
      </c>
      <c r="C11" s="47" t="n">
        <v>0</v>
      </c>
      <c r="D11" s="47" t="n">
        <v>0</v>
      </c>
      <c r="E11" s="47" t="n">
        <v>0</v>
      </c>
      <c r="F11" s="47" t="n">
        <v>0</v>
      </c>
      <c r="G11" s="47" t="inlineStr"/>
      <c r="H11" s="47" t="inlineStr"/>
      <c r="I11" s="47" t="inlineStr"/>
      <c r="J11" s="47" t="inlineStr"/>
      <c r="K11" s="47" t="inlineStr"/>
      <c r="L11" s="47" t="inlineStr"/>
      <c r="M11" s="47" t="inlineStr"/>
      <c r="N11" s="47" t="inlineStr"/>
      <c r="O11" s="47" t="inlineStr"/>
    </row>
    <row r="12">
      <c r="A12" s="47" t="n">
        <v>8810001443</v>
      </c>
      <c r="B12" s="47" t="inlineStr">
        <is>
          <t>HEP-3150(一體式-標準)</t>
        </is>
      </c>
      <c r="C12" s="47" t="n">
        <v>0</v>
      </c>
      <c r="D12" s="47" t="n">
        <v>0</v>
      </c>
      <c r="E12" s="47" t="n">
        <v>0</v>
      </c>
      <c r="F12" s="47" t="n">
        <v>0</v>
      </c>
      <c r="G12" s="47" t="inlineStr"/>
      <c r="H12" s="47" t="inlineStr"/>
      <c r="I12" s="47" t="inlineStr"/>
      <c r="J12" s="47" t="inlineStr"/>
      <c r="K12" s="47" t="inlineStr"/>
      <c r="L12" s="47" t="inlineStr"/>
      <c r="M12" s="47" t="inlineStr"/>
      <c r="N12" s="47" t="inlineStr"/>
      <c r="O12" s="47" t="inlineStr"/>
    </row>
    <row r="13">
      <c r="A13" s="47" t="n">
        <v>8810001491</v>
      </c>
      <c r="B13" s="47" t="inlineStr">
        <is>
          <t>HSA-316(一體式-標準)</t>
        </is>
      </c>
      <c r="C13" s="47" t="n">
        <v>0</v>
      </c>
      <c r="D13" s="47" t="n">
        <v>0</v>
      </c>
      <c r="E13" s="47" t="n">
        <v>0</v>
      </c>
      <c r="F13" s="47" t="n">
        <v>2</v>
      </c>
      <c r="G13" s="47" t="inlineStr"/>
      <c r="H13" s="47" t="n">
        <v>4</v>
      </c>
      <c r="I13" s="47" t="inlineStr"/>
      <c r="J13" s="47" t="inlineStr"/>
      <c r="K13" s="47" t="n">
        <v>4</v>
      </c>
      <c r="L13" s="47" t="inlineStr"/>
      <c r="M13" s="47" t="inlineStr"/>
      <c r="N13" s="47" t="inlineStr"/>
      <c r="O13" s="47" t="inlineStr"/>
    </row>
    <row r="14">
      <c r="A14" s="47" t="n">
        <v>8810001493</v>
      </c>
      <c r="B14" s="47" t="inlineStr">
        <is>
          <t>HSA-316(一體式-100H)</t>
        </is>
      </c>
      <c r="C14" s="47" t="n">
        <v>0</v>
      </c>
      <c r="D14" s="47" t="n">
        <v>0</v>
      </c>
      <c r="E14" s="47" t="n">
        <v>0</v>
      </c>
      <c r="F14" s="47" t="n">
        <v>0</v>
      </c>
      <c r="G14" s="47" t="inlineStr"/>
      <c r="H14" s="47" t="inlineStr"/>
      <c r="I14" s="47" t="inlineStr"/>
      <c r="J14" s="47" t="inlineStr"/>
      <c r="K14" s="47" t="inlineStr"/>
      <c r="L14" s="47" t="inlineStr"/>
      <c r="M14" s="47" t="inlineStr"/>
      <c r="N14" s="47" t="inlineStr"/>
      <c r="O14" s="47" t="inlineStr"/>
    </row>
    <row r="15">
      <c r="A15" s="47" t="n">
        <v>8810001495</v>
      </c>
      <c r="B15" s="47" t="inlineStr">
        <is>
          <t>HSA-316(一體式-200H)</t>
        </is>
      </c>
      <c r="C15" s="47" t="n">
        <v>0</v>
      </c>
      <c r="D15" s="47" t="n">
        <v>0</v>
      </c>
      <c r="E15" s="47" t="n">
        <v>0</v>
      </c>
      <c r="F15" s="47" t="n">
        <v>0</v>
      </c>
      <c r="G15" s="47" t="inlineStr"/>
      <c r="H15" s="47" t="inlineStr"/>
      <c r="I15" s="47" t="inlineStr"/>
      <c r="J15" s="47" t="inlineStr"/>
      <c r="K15" s="47" t="inlineStr"/>
      <c r="L15" s="47" t="inlineStr"/>
      <c r="M15" s="47" t="inlineStr"/>
      <c r="N15" s="47" t="inlineStr"/>
      <c r="O15" s="47" t="inlineStr"/>
    </row>
    <row r="16">
      <c r="A16" s="47" t="n">
        <v>8810001421</v>
      </c>
      <c r="B16" s="47" t="inlineStr">
        <is>
          <t>HSA-220</t>
        </is>
      </c>
      <c r="C16" s="47" t="n">
        <v>0</v>
      </c>
      <c r="D16" s="47" t="n">
        <v>0</v>
      </c>
      <c r="E16" s="47" t="n">
        <v>0</v>
      </c>
      <c r="F16" s="47" t="n">
        <v>0</v>
      </c>
      <c r="G16" s="47" t="inlineStr"/>
      <c r="H16" s="47" t="inlineStr"/>
      <c r="I16" s="47" t="inlineStr"/>
      <c r="J16" s="47" t="inlineStr"/>
      <c r="K16" s="47" t="inlineStr"/>
      <c r="L16" s="47" t="inlineStr">
        <is>
          <t>HSA-220</t>
        </is>
      </c>
      <c r="M16" s="47" t="inlineStr"/>
      <c r="N16" s="47" t="inlineStr"/>
      <c r="O16" s="47" t="inlineStr"/>
    </row>
    <row r="17">
      <c r="A17" s="47" t="n">
        <v>8810001422</v>
      </c>
      <c r="B17" s="47" t="inlineStr">
        <is>
          <t>HSA-320</t>
        </is>
      </c>
      <c r="C17" s="47" t="n">
        <v>0</v>
      </c>
      <c r="D17" s="47" t="n">
        <v>0</v>
      </c>
      <c r="E17" s="47" t="n">
        <v>0</v>
      </c>
      <c r="F17" s="47" t="n">
        <v>0</v>
      </c>
      <c r="G17" s="47" t="inlineStr"/>
      <c r="H17" s="47" t="inlineStr"/>
      <c r="I17" s="47" t="inlineStr"/>
      <c r="J17" s="47" t="inlineStr"/>
      <c r="K17" s="47" t="inlineStr"/>
      <c r="L17" s="47" t="inlineStr">
        <is>
          <t>HSA-320</t>
        </is>
      </c>
      <c r="M17" s="47" t="inlineStr"/>
      <c r="N17" s="47" t="n">
        <v>2</v>
      </c>
      <c r="O17" s="47" t="inlineStr"/>
    </row>
    <row r="18">
      <c r="A18" s="47" t="n">
        <v>8810001534</v>
      </c>
      <c r="B18" s="47" t="inlineStr">
        <is>
          <t>HSA-320_NEO</t>
        </is>
      </c>
      <c r="C18" s="47" t="n">
        <v>0</v>
      </c>
      <c r="D18" s="47" t="n">
        <v>0</v>
      </c>
      <c r="E18" s="47" t="n">
        <v>0</v>
      </c>
      <c r="F18" s="47" t="n">
        <v>0</v>
      </c>
      <c r="G18" s="47" t="inlineStr"/>
      <c r="H18" s="47" t="inlineStr"/>
      <c r="I18" s="47" t="inlineStr"/>
      <c r="J18" s="47" t="inlineStr"/>
      <c r="K18" s="47" t="inlineStr"/>
      <c r="L18" s="47" t="inlineStr"/>
      <c r="M18" s="47" t="inlineStr"/>
      <c r="N18" s="47" t="inlineStr"/>
      <c r="O18" s="47" t="inlineStr"/>
    </row>
    <row r="19">
      <c r="A19" s="47" t="n">
        <v>8810001316</v>
      </c>
      <c r="B19" s="47" t="inlineStr">
        <is>
          <t>HSA-323</t>
        </is>
      </c>
      <c r="C19" s="47" t="n">
        <v>0</v>
      </c>
      <c r="D19" s="47" t="n">
        <v>0</v>
      </c>
      <c r="E19" s="47" t="n">
        <v>0</v>
      </c>
      <c r="F19" s="47" t="n">
        <v>1</v>
      </c>
      <c r="G19" s="47" t="inlineStr"/>
      <c r="H19" s="47" t="inlineStr"/>
      <c r="I19" s="47" t="inlineStr"/>
      <c r="J19" s="47" t="inlineStr"/>
      <c r="K19" s="47" t="inlineStr"/>
      <c r="L19" s="47" t="inlineStr">
        <is>
          <t>HSA323</t>
        </is>
      </c>
      <c r="M19" s="47" t="inlineStr">
        <is>
          <t>M4:5.5HR,M3:32HR</t>
        </is>
      </c>
      <c r="N19" s="47" t="inlineStr"/>
      <c r="O19" s="47" t="inlineStr"/>
    </row>
    <row r="20">
      <c r="A20" s="47" t="n">
        <v>8810001425</v>
      </c>
      <c r="B20" s="47" t="inlineStr">
        <is>
          <t>HSA-328</t>
        </is>
      </c>
      <c r="C20" s="47" t="n">
        <v>0</v>
      </c>
      <c r="D20" s="47" t="n">
        <v>0</v>
      </c>
      <c r="E20" s="47" t="n">
        <v>1</v>
      </c>
      <c r="F20" s="47" t="n">
        <v>0</v>
      </c>
      <c r="G20" s="47" t="inlineStr"/>
      <c r="H20" s="47" t="inlineStr"/>
      <c r="I20" s="47" t="inlineStr"/>
      <c r="J20" s="47" t="inlineStr"/>
      <c r="K20" s="47" t="inlineStr"/>
      <c r="L20" s="47" t="inlineStr">
        <is>
          <t>HSA328</t>
        </is>
      </c>
      <c r="M20" s="47" t="inlineStr"/>
      <c r="N20" s="47" t="inlineStr"/>
      <c r="O20" s="47" t="inlineStr"/>
    </row>
    <row r="21">
      <c r="A21" s="47" t="n">
        <v>8810001317</v>
      </c>
      <c r="B21" s="47" t="inlineStr">
        <is>
          <t>HSA-327</t>
        </is>
      </c>
      <c r="C21" s="47" t="n">
        <v>0</v>
      </c>
      <c r="D21" s="47" t="n">
        <v>0</v>
      </c>
      <c r="E21" s="47" t="n">
        <v>0</v>
      </c>
      <c r="F21" s="47" t="n">
        <v>0</v>
      </c>
      <c r="G21" s="47" t="inlineStr"/>
      <c r="H21" s="47" t="n">
        <v>1</v>
      </c>
      <c r="I21" s="47" t="n">
        <v>0</v>
      </c>
      <c r="J21" s="47" t="inlineStr"/>
      <c r="K21" s="47" t="inlineStr"/>
      <c r="L21" s="47" t="inlineStr">
        <is>
          <t>HSA327</t>
        </is>
      </c>
      <c r="M21" s="47" t="inlineStr"/>
      <c r="N21" s="47" t="inlineStr"/>
      <c r="O21" s="47" t="inlineStr"/>
    </row>
    <row r="22">
      <c r="A22" s="47" t="n">
        <v>8810001423</v>
      </c>
      <c r="B22" s="47" t="inlineStr">
        <is>
          <t>HSA-420</t>
        </is>
      </c>
      <c r="C22" s="47" t="n">
        <v>0</v>
      </c>
      <c r="D22" s="47" t="n">
        <v>0</v>
      </c>
      <c r="E22" s="47" t="n">
        <v>0</v>
      </c>
      <c r="F22" s="47" t="n">
        <v>0</v>
      </c>
      <c r="G22" s="47" t="inlineStr"/>
      <c r="H22" s="47" t="n">
        <v>1</v>
      </c>
      <c r="I22" s="47" t="inlineStr"/>
      <c r="J22" s="47" t="inlineStr"/>
      <c r="K22" s="47" t="inlineStr"/>
      <c r="L22" s="47" t="inlineStr">
        <is>
          <t>HSA-420</t>
        </is>
      </c>
      <c r="M22" s="47" t="inlineStr"/>
      <c r="N22" s="47" t="n">
        <v>1</v>
      </c>
      <c r="O22" s="47" t="inlineStr"/>
    </row>
    <row r="23">
      <c r="A23" s="47" t="n">
        <v>8810001277</v>
      </c>
      <c r="B23" s="47" t="inlineStr">
        <is>
          <t>HSA-423</t>
        </is>
      </c>
      <c r="C23" s="47" t="n">
        <v>1</v>
      </c>
      <c r="D23" s="47" t="n">
        <v>0</v>
      </c>
      <c r="E23" s="47" t="n">
        <v>1</v>
      </c>
      <c r="F23" s="47" t="n">
        <v>0</v>
      </c>
      <c r="G23" s="47" t="inlineStr"/>
      <c r="H23" s="47" t="n">
        <v>2</v>
      </c>
      <c r="I23" s="47" t="inlineStr"/>
      <c r="J23" s="47" t="inlineStr"/>
      <c r="K23" s="47" t="n">
        <v>2</v>
      </c>
      <c r="L23" s="47" t="inlineStr">
        <is>
          <t>HSA423</t>
        </is>
      </c>
      <c r="M23" s="47" t="inlineStr">
        <is>
          <t>M4:6.5HR，M3:46.5HR</t>
        </is>
      </c>
      <c r="N23" s="47" t="n">
        <v>1</v>
      </c>
      <c r="O23" s="47" t="inlineStr"/>
    </row>
    <row r="24">
      <c r="A24" s="47" t="n">
        <v>8810001250</v>
      </c>
      <c r="B24" s="47" t="inlineStr">
        <is>
          <t>HSA423_NEO</t>
        </is>
      </c>
      <c r="C24" s="47" t="n">
        <v>0</v>
      </c>
      <c r="D24" s="47" t="n">
        <v>0</v>
      </c>
      <c r="E24" s="47" t="n">
        <v>0</v>
      </c>
      <c r="F24" s="47" t="n">
        <v>0</v>
      </c>
      <c r="G24" s="47" t="inlineStr"/>
      <c r="H24" s="47" t="inlineStr"/>
      <c r="I24" s="47" t="inlineStr"/>
      <c r="J24" s="47" t="inlineStr"/>
      <c r="K24" s="47" t="inlineStr"/>
      <c r="L24" s="47" t="inlineStr"/>
      <c r="M24" s="47" t="inlineStr"/>
      <c r="N24" s="47" t="inlineStr"/>
      <c r="O24" s="47" t="inlineStr"/>
    </row>
    <row r="25">
      <c r="A25" s="47" t="n">
        <v>8810001278</v>
      </c>
      <c r="B25" s="47" t="inlineStr">
        <is>
          <t>HSA-427</t>
        </is>
      </c>
      <c r="C25" s="47" t="n">
        <v>1</v>
      </c>
      <c r="D25" s="47" t="n">
        <v>0</v>
      </c>
      <c r="E25" s="47" t="n">
        <v>0</v>
      </c>
      <c r="F25" s="47" t="n">
        <v>0</v>
      </c>
      <c r="G25" s="47" t="inlineStr"/>
      <c r="H25" s="47" t="n">
        <v>0</v>
      </c>
      <c r="I25" s="47" t="inlineStr"/>
      <c r="J25" s="47" t="inlineStr"/>
      <c r="K25" s="47" t="inlineStr"/>
      <c r="L25" s="47" t="inlineStr">
        <is>
          <t>HSA427</t>
        </is>
      </c>
      <c r="M25" s="47" t="inlineStr"/>
      <c r="N25" s="47" t="inlineStr"/>
      <c r="O25" s="47" t="inlineStr"/>
    </row>
    <row r="26">
      <c r="A26" s="47" t="n">
        <v>8810001252</v>
      </c>
      <c r="B26" s="47" t="inlineStr">
        <is>
          <t>HSA-428</t>
        </is>
      </c>
      <c r="C26" s="47" t="n">
        <v>0</v>
      </c>
      <c r="D26" s="47" t="n">
        <v>0</v>
      </c>
      <c r="E26" s="47" t="n">
        <v>0</v>
      </c>
      <c r="F26" s="47" t="n">
        <v>0</v>
      </c>
      <c r="G26" s="47" t="inlineStr"/>
      <c r="H26" s="47" t="inlineStr"/>
      <c r="I26" s="47" t="inlineStr"/>
      <c r="J26" s="47" t="inlineStr"/>
      <c r="K26" s="47" t="inlineStr"/>
      <c r="L26" s="47" t="inlineStr">
        <is>
          <t>HSA428</t>
        </is>
      </c>
      <c r="M26" s="47" t="inlineStr"/>
      <c r="N26" s="47" t="inlineStr"/>
      <c r="O26" s="47" t="inlineStr"/>
    </row>
    <row r="27">
      <c r="A27" s="47" t="n">
        <v>8810001359</v>
      </c>
      <c r="B27" s="47" t="inlineStr">
        <is>
          <t>HSA-523</t>
        </is>
      </c>
      <c r="C27" s="47" t="n">
        <v>0</v>
      </c>
      <c r="D27" s="47" t="n">
        <v>0</v>
      </c>
      <c r="E27" s="47" t="n">
        <v>0</v>
      </c>
      <c r="F27" s="47" t="n">
        <v>0</v>
      </c>
      <c r="G27" s="47" t="inlineStr"/>
      <c r="H27" s="47" t="inlineStr"/>
      <c r="I27" s="47" t="inlineStr"/>
      <c r="J27" s="47" t="inlineStr"/>
      <c r="K27" s="47" t="inlineStr"/>
      <c r="L27" s="47" t="inlineStr">
        <is>
          <t>HSA-523</t>
        </is>
      </c>
      <c r="M27" s="47" t="inlineStr"/>
      <c r="N27" s="47" t="inlineStr"/>
      <c r="O27" s="47" t="inlineStr"/>
    </row>
    <row r="28">
      <c r="A28" s="47" t="n">
        <v>8810001355</v>
      </c>
      <c r="B28" s="47" t="inlineStr">
        <is>
          <t>HSA-527</t>
        </is>
      </c>
      <c r="C28" s="47" t="n">
        <v>0</v>
      </c>
      <c r="D28" s="47" t="n">
        <v>0</v>
      </c>
      <c r="E28" s="47" t="n">
        <v>0</v>
      </c>
      <c r="F28" s="47" t="n">
        <v>0</v>
      </c>
      <c r="G28" s="47" t="inlineStr"/>
      <c r="H28" s="47" t="n">
        <v>0</v>
      </c>
      <c r="I28" s="47" t="inlineStr"/>
      <c r="J28" s="47" t="inlineStr"/>
      <c r="K28" s="47" t="inlineStr"/>
      <c r="L28" s="47" t="inlineStr">
        <is>
          <t>HSA-527</t>
        </is>
      </c>
      <c r="M28" s="47" t="inlineStr"/>
      <c r="N28" s="47" t="inlineStr"/>
      <c r="O28" s="47" t="inlineStr"/>
    </row>
    <row r="29">
      <c r="A29" s="47" t="n">
        <v>8810001248</v>
      </c>
      <c r="B29" s="47" t="inlineStr">
        <is>
          <t>HSA-528</t>
        </is>
      </c>
      <c r="C29" s="47" t="n">
        <v>0</v>
      </c>
      <c r="D29" s="47" t="n">
        <v>0</v>
      </c>
      <c r="E29" s="47" t="n">
        <v>0</v>
      </c>
      <c r="F29" s="47" t="n">
        <v>0</v>
      </c>
      <c r="G29" s="47" t="inlineStr"/>
      <c r="H29" s="47" t="n">
        <v>0</v>
      </c>
      <c r="I29" s="47" t="inlineStr"/>
      <c r="J29" s="47" t="inlineStr"/>
      <c r="K29" s="47" t="inlineStr"/>
      <c r="L29" s="47" t="inlineStr">
        <is>
          <t>HSA-528</t>
        </is>
      </c>
      <c r="M29" s="47" t="inlineStr">
        <is>
          <t>12/10 庫存已扣</t>
        </is>
      </c>
      <c r="N29" s="47" t="n">
        <v>1</v>
      </c>
      <c r="O29" s="47" t="inlineStr"/>
    </row>
    <row r="30">
      <c r="A30" s="47" t="n">
        <v>8810001265</v>
      </c>
      <c r="B30" s="47" t="inlineStr">
        <is>
          <t>HSA-536</t>
        </is>
      </c>
      <c r="C30" s="47" t="n">
        <v>0</v>
      </c>
      <c r="D30" s="47" t="n">
        <v>0</v>
      </c>
      <c r="E30" s="47" t="n">
        <v>1</v>
      </c>
      <c r="F30" s="47" t="n">
        <v>0</v>
      </c>
      <c r="G30" s="47" t="inlineStr"/>
      <c r="H30" s="47" t="n">
        <v>1</v>
      </c>
      <c r="I30" s="47" t="inlineStr"/>
      <c r="J30" s="47" t="inlineStr"/>
      <c r="K30" s="47" t="inlineStr"/>
      <c r="L30" s="47" t="inlineStr">
        <is>
          <t>HSA536</t>
        </is>
      </c>
      <c r="M30" s="47" t="inlineStr">
        <is>
          <t>3/29興隆興入1台</t>
        </is>
      </c>
      <c r="N30" s="47" t="inlineStr"/>
      <c r="O30" s="47" t="inlineStr"/>
    </row>
    <row r="31">
      <c r="A31" s="47" t="n">
        <v>8810001409</v>
      </c>
      <c r="B31" s="47" t="inlineStr">
        <is>
          <t>HSA-623主底座</t>
        </is>
      </c>
      <c r="C31" s="47" t="n">
        <v>0</v>
      </c>
      <c r="D31" s="47" t="n">
        <v>0</v>
      </c>
      <c r="E31" s="47" t="n">
        <v>0</v>
      </c>
      <c r="F31" s="47" t="n">
        <v>0</v>
      </c>
      <c r="G31" s="47" t="inlineStr"/>
      <c r="H31" s="47" t="inlineStr"/>
      <c r="I31" s="47" t="inlineStr"/>
      <c r="J31" s="47" t="inlineStr"/>
      <c r="K31" s="47" t="inlineStr"/>
      <c r="L31" s="47" t="inlineStr"/>
      <c r="M31" s="47" t="inlineStr"/>
      <c r="N31" s="47" t="inlineStr"/>
      <c r="O31" s="47" t="inlineStr"/>
    </row>
    <row r="32">
      <c r="A32" s="47" t="n">
        <v>8810001336</v>
      </c>
      <c r="B32" s="47" t="inlineStr">
        <is>
          <t>HSA-623副底座</t>
        </is>
      </c>
      <c r="C32" s="47" t="n">
        <v>0</v>
      </c>
      <c r="D32" s="47" t="n">
        <v>0</v>
      </c>
      <c r="E32" s="47" t="n">
        <v>1</v>
      </c>
      <c r="F32" s="47" t="n">
        <v>0</v>
      </c>
      <c r="G32" s="47" t="inlineStr"/>
      <c r="H32" s="47" t="n">
        <v>1</v>
      </c>
      <c r="I32" s="47" t="inlineStr"/>
      <c r="J32" s="47" t="inlineStr"/>
      <c r="K32" s="47" t="inlineStr"/>
      <c r="L32" s="47" t="inlineStr"/>
      <c r="M32" s="47" t="inlineStr"/>
      <c r="N32" s="47" t="inlineStr"/>
      <c r="O32" s="47" t="inlineStr"/>
    </row>
    <row r="33">
      <c r="A33" s="47" t="n">
        <v>8810001334</v>
      </c>
      <c r="B33" s="47" t="inlineStr">
        <is>
          <t>HSA-627主底座</t>
        </is>
      </c>
      <c r="C33" s="47" t="n">
        <v>0</v>
      </c>
      <c r="D33" s="47" t="n">
        <v>0</v>
      </c>
      <c r="E33" s="47" t="n">
        <v>1</v>
      </c>
      <c r="F33" s="47" t="n">
        <v>0</v>
      </c>
      <c r="G33" s="47" t="inlineStr"/>
      <c r="H33" s="47" t="n">
        <v>1</v>
      </c>
      <c r="I33" s="47" t="inlineStr"/>
      <c r="J33" s="47" t="inlineStr"/>
      <c r="K33" s="47" t="inlineStr"/>
      <c r="L33" s="47" t="inlineStr"/>
      <c r="M33" s="47" t="inlineStr"/>
      <c r="N33" s="47" t="inlineStr"/>
      <c r="O33" s="47" t="inlineStr"/>
    </row>
    <row r="34">
      <c r="A34" s="47" t="n">
        <v>8810001336</v>
      </c>
      <c r="B34" s="47" t="inlineStr">
        <is>
          <t>HSA-627副底座</t>
        </is>
      </c>
      <c r="C34" s="47" t="n">
        <v>0</v>
      </c>
      <c r="D34" s="47" t="n">
        <v>0</v>
      </c>
      <c r="E34" s="47" t="n">
        <v>0</v>
      </c>
      <c r="F34" s="47" t="n">
        <v>0</v>
      </c>
      <c r="G34" s="47" t="inlineStr"/>
      <c r="H34" s="47" t="inlineStr"/>
      <c r="I34" s="47" t="inlineStr"/>
      <c r="J34" s="47" t="inlineStr"/>
      <c r="K34" s="47" t="inlineStr"/>
      <c r="L34" s="47" t="inlineStr"/>
      <c r="M34" s="47" t="inlineStr"/>
      <c r="N34" s="47" t="inlineStr"/>
      <c r="O34" s="47" t="inlineStr"/>
    </row>
    <row r="35">
      <c r="A35" s="47" t="n">
        <v>8810001352</v>
      </c>
      <c r="B35" s="47" t="inlineStr">
        <is>
          <t>HSA-628主底座</t>
        </is>
      </c>
      <c r="C35" s="47" t="n">
        <v>0</v>
      </c>
      <c r="D35" s="47" t="n">
        <v>0</v>
      </c>
      <c r="E35" s="47" t="n">
        <v>0</v>
      </c>
      <c r="F35" s="47" t="n">
        <v>0</v>
      </c>
      <c r="G35" s="47" t="inlineStr"/>
      <c r="H35" s="47" t="inlineStr"/>
      <c r="I35" s="47" t="inlineStr"/>
      <c r="J35" s="47" t="inlineStr"/>
      <c r="K35" s="47" t="inlineStr"/>
      <c r="L35" s="47" t="inlineStr"/>
      <c r="M35" s="47" t="inlineStr">
        <is>
          <t>M3:45.5HR</t>
        </is>
      </c>
      <c r="N35" s="47" t="inlineStr"/>
      <c r="O35" s="47" t="inlineStr"/>
    </row>
    <row r="36">
      <c r="A36" s="47" t="n">
        <v>8810001353</v>
      </c>
      <c r="B36" s="47" t="inlineStr">
        <is>
          <t>HSA-628副底座</t>
        </is>
      </c>
      <c r="C36" s="47" t="n">
        <v>0</v>
      </c>
      <c r="D36" s="47" t="n">
        <v>0</v>
      </c>
      <c r="E36" s="47" t="n">
        <v>0</v>
      </c>
      <c r="F36" s="47" t="n">
        <v>0</v>
      </c>
      <c r="G36" s="47" t="inlineStr"/>
      <c r="H36" s="47" t="inlineStr"/>
      <c r="I36" s="47" t="inlineStr"/>
      <c r="J36" s="47" t="inlineStr"/>
      <c r="K36" s="47" t="inlineStr"/>
      <c r="L36" s="47" t="inlineStr"/>
      <c r="M36" s="47" t="inlineStr">
        <is>
          <t>M3:19HR</t>
        </is>
      </c>
      <c r="N36" s="47" t="inlineStr"/>
      <c r="O36" s="47" t="inlineStr"/>
    </row>
    <row r="37">
      <c r="A37" s="47" t="n">
        <v>8810001367</v>
      </c>
      <c r="B37" s="47" t="inlineStr">
        <is>
          <t>HSA-636主底座</t>
        </is>
      </c>
      <c r="C37" s="47" t="n">
        <v>0</v>
      </c>
      <c r="D37" s="47" t="n">
        <v>0</v>
      </c>
      <c r="E37" s="47" t="n">
        <v>0</v>
      </c>
      <c r="F37" s="47" t="inlineStr"/>
      <c r="G37" s="47" t="inlineStr"/>
      <c r="H37" s="47" t="inlineStr"/>
      <c r="I37" s="47" t="inlineStr"/>
      <c r="J37" s="47" t="inlineStr"/>
      <c r="K37" s="47" t="inlineStr"/>
      <c r="L37" s="47" t="inlineStr"/>
      <c r="M37" s="47" t="inlineStr"/>
      <c r="N37" s="47" t="inlineStr"/>
      <c r="O37" s="47" t="inlineStr"/>
    </row>
    <row r="38">
      <c r="A38" s="47" t="n">
        <v>8810001366</v>
      </c>
      <c r="B38" s="47" t="inlineStr">
        <is>
          <t>HSA-636副底座</t>
        </is>
      </c>
      <c r="C38" s="47" t="n">
        <v>0</v>
      </c>
      <c r="D38" s="47" t="n">
        <v>0</v>
      </c>
      <c r="E38" s="47" t="n">
        <v>0</v>
      </c>
      <c r="F38" s="47" t="inlineStr"/>
      <c r="G38" s="47" t="inlineStr"/>
      <c r="H38" s="47" t="inlineStr"/>
      <c r="I38" s="47" t="inlineStr"/>
      <c r="J38" s="47" t="inlineStr"/>
      <c r="K38" s="47" t="inlineStr"/>
      <c r="L38" s="47" t="inlineStr"/>
      <c r="M38" s="47" t="inlineStr"/>
      <c r="N38" s="47" t="inlineStr"/>
      <c r="O38" s="47" t="inlineStr"/>
    </row>
    <row r="39">
      <c r="A39" s="47" t="n">
        <v>8810001400</v>
      </c>
      <c r="B39" s="47" t="inlineStr">
        <is>
          <t>HSA-728主底座</t>
        </is>
      </c>
      <c r="C39" s="47" t="n">
        <v>0</v>
      </c>
      <c r="D39" s="47" t="n">
        <v>0</v>
      </c>
      <c r="E39" s="47" t="n">
        <v>0</v>
      </c>
      <c r="F39" s="47" t="inlineStr"/>
      <c r="G39" s="47" t="inlineStr"/>
      <c r="H39" s="47" t="inlineStr"/>
      <c r="I39" s="47" t="inlineStr"/>
      <c r="J39" s="47" t="inlineStr"/>
      <c r="K39" s="47" t="inlineStr"/>
      <c r="L39" s="47" t="inlineStr"/>
      <c r="M39" s="47" t="inlineStr"/>
      <c r="N39" s="47" t="inlineStr"/>
      <c r="O39" s="47" t="inlineStr"/>
    </row>
    <row r="40">
      <c r="A40" s="47" t="n">
        <v>8810001401</v>
      </c>
      <c r="B40" s="47" t="inlineStr">
        <is>
          <t>HSA-728副底座</t>
        </is>
      </c>
      <c r="C40" s="47" t="n">
        <v>0</v>
      </c>
      <c r="D40" s="47" t="n">
        <v>0</v>
      </c>
      <c r="E40" s="47" t="n">
        <v>0</v>
      </c>
      <c r="F40" s="47" t="inlineStr"/>
      <c r="G40" s="47" t="inlineStr"/>
      <c r="H40" s="47" t="inlineStr"/>
      <c r="I40" s="47" t="inlineStr"/>
      <c r="J40" s="47" t="inlineStr"/>
      <c r="K40" s="47" t="inlineStr"/>
      <c r="L40" s="47" t="inlineStr"/>
      <c r="M40" s="47" t="inlineStr"/>
      <c r="N40" s="47" t="inlineStr"/>
      <c r="O40" s="47" t="inlineStr"/>
    </row>
    <row r="41">
      <c r="A41" s="47" t="n">
        <v>8810001369</v>
      </c>
      <c r="B41" s="47" t="inlineStr">
        <is>
          <t>HSA-736主底座</t>
        </is>
      </c>
      <c r="C41" s="47" t="n">
        <v>0</v>
      </c>
      <c r="D41" s="47" t="n">
        <v>0</v>
      </c>
      <c r="E41" s="47" t="n">
        <v>0</v>
      </c>
      <c r="F41" s="47" t="inlineStr"/>
      <c r="G41" s="47" t="inlineStr"/>
      <c r="H41" s="47" t="inlineStr"/>
      <c r="I41" s="47" t="inlineStr"/>
      <c r="J41" s="47" t="inlineStr"/>
      <c r="K41" s="47" t="inlineStr"/>
      <c r="L41" s="47" t="inlineStr"/>
      <c r="M41" s="47" t="inlineStr"/>
      <c r="N41" s="47" t="inlineStr"/>
      <c r="O41" s="47" t="inlineStr"/>
    </row>
    <row r="42">
      <c r="A42" s="47" t="n">
        <v>8810001373</v>
      </c>
      <c r="B42" s="47" t="inlineStr">
        <is>
          <t>HSA-736副底座</t>
        </is>
      </c>
      <c r="C42" s="47" t="n">
        <v>0</v>
      </c>
      <c r="D42" s="47" t="n">
        <v>0</v>
      </c>
      <c r="E42" s="47" t="n">
        <v>0</v>
      </c>
      <c r="F42" s="47" t="inlineStr"/>
      <c r="G42" s="47" t="inlineStr"/>
      <c r="H42" s="47" t="inlineStr"/>
      <c r="I42" s="47" t="inlineStr"/>
      <c r="J42" s="47" t="inlineStr"/>
      <c r="K42" s="47" t="inlineStr"/>
      <c r="L42" s="47" t="inlineStr"/>
      <c r="M42" s="47" t="inlineStr"/>
      <c r="N42" s="47" t="inlineStr"/>
      <c r="O42" s="47" t="inlineStr"/>
    </row>
    <row r="43">
      <c r="A43" s="47" t="n">
        <v>8810001067</v>
      </c>
      <c r="B43" s="47" t="inlineStr">
        <is>
          <t>PBM135-X軸(3米)</t>
        </is>
      </c>
      <c r="C43" s="47" t="n">
        <v>0</v>
      </c>
      <c r="D43" s="47" t="n">
        <v>0</v>
      </c>
      <c r="E43" s="47" t="n">
        <v>0</v>
      </c>
      <c r="F43" s="47" t="n">
        <v>0</v>
      </c>
      <c r="G43" s="47" t="n">
        <v>0</v>
      </c>
      <c r="H43" s="47" t="inlineStr"/>
      <c r="I43" s="47" t="inlineStr"/>
      <c r="J43" s="47" t="inlineStr"/>
      <c r="K43" s="47" t="inlineStr"/>
      <c r="L43" s="47" t="inlineStr"/>
      <c r="M43" s="47" t="inlineStr"/>
      <c r="N43" s="47" t="inlineStr"/>
      <c r="O43" s="47" t="inlineStr"/>
    </row>
    <row r="44">
      <c r="A44" s="47" t="n">
        <v>8810001224</v>
      </c>
      <c r="B44" s="47" t="inlineStr">
        <is>
          <t>PBM135-X軸(4米)</t>
        </is>
      </c>
      <c r="C44" s="47" t="n">
        <v>0</v>
      </c>
      <c r="D44" s="47" t="n">
        <v>0</v>
      </c>
      <c r="E44" s="47" t="n">
        <v>0</v>
      </c>
      <c r="F44" s="47" t="n">
        <v>0</v>
      </c>
      <c r="G44" s="47" t="n">
        <v>0</v>
      </c>
      <c r="H44" s="47" t="n">
        <v>0</v>
      </c>
      <c r="I44" s="47" t="inlineStr"/>
      <c r="J44" s="47" t="inlineStr"/>
      <c r="K44" s="47" t="inlineStr"/>
      <c r="L44" s="47" t="inlineStr"/>
      <c r="M44" s="47" t="inlineStr"/>
      <c r="N44" s="47" t="inlineStr"/>
      <c r="O44" s="47" t="inlineStr"/>
    </row>
    <row r="45">
      <c r="A45" s="47" t="n">
        <v>8810001365</v>
      </c>
      <c r="B45" s="47" t="inlineStr">
        <is>
          <t>PBM135-Z軸底座</t>
        </is>
      </c>
      <c r="C45" s="47" t="n">
        <v>0</v>
      </c>
      <c r="D45" s="47" t="n">
        <v>0</v>
      </c>
      <c r="E45" s="47" t="n">
        <v>0</v>
      </c>
      <c r="F45" s="47" t="n">
        <v>0</v>
      </c>
      <c r="G45" s="47" t="inlineStr"/>
      <c r="H45" s="47" t="inlineStr"/>
      <c r="I45" s="47" t="inlineStr"/>
      <c r="J45" s="47" t="inlineStr"/>
      <c r="K45" s="47" t="n">
        <v>0</v>
      </c>
      <c r="L45" s="47" t="inlineStr"/>
      <c r="M45" s="47" t="inlineStr"/>
      <c r="N45" s="47" t="inlineStr"/>
      <c r="O45" s="47" t="inlineStr"/>
    </row>
    <row r="46">
      <c r="A46" s="47" t="n">
        <v>8810001203</v>
      </c>
      <c r="B46" s="47" t="inlineStr">
        <is>
          <t>PBM115A-X軸底座</t>
        </is>
      </c>
      <c r="C46" s="47" t="n">
        <v>1</v>
      </c>
      <c r="D46" s="47" t="n">
        <v>0</v>
      </c>
      <c r="E46" s="47" t="n">
        <v>0</v>
      </c>
      <c r="F46" s="47" t="n">
        <v>0</v>
      </c>
      <c r="G46" s="47" t="inlineStr"/>
      <c r="H46" s="47" t="n">
        <v>1</v>
      </c>
      <c r="I46" s="47" t="inlineStr"/>
      <c r="J46" s="47" t="n">
        <v>0</v>
      </c>
      <c r="K46" s="47" t="n">
        <v>0</v>
      </c>
      <c r="L46" s="47" t="inlineStr"/>
      <c r="M46" s="47" t="inlineStr"/>
      <c r="N46" s="47" t="inlineStr"/>
      <c r="O46" s="47" t="inlineStr"/>
    </row>
    <row r="47">
      <c r="A47" s="47" t="n">
        <v>8810001204</v>
      </c>
      <c r="B47" s="47" t="inlineStr">
        <is>
          <t>PBM115A-Z軸底座</t>
        </is>
      </c>
      <c r="C47" s="47" t="n">
        <v>1</v>
      </c>
      <c r="D47" s="47" t="n">
        <v>0</v>
      </c>
      <c r="E47" s="47" t="n">
        <v>0</v>
      </c>
      <c r="F47" s="47" t="n">
        <v>0</v>
      </c>
      <c r="G47" s="47" t="inlineStr"/>
      <c r="H47" s="47" t="n">
        <v>1</v>
      </c>
      <c r="I47" s="47" t="inlineStr"/>
      <c r="J47" s="47" t="inlineStr"/>
      <c r="K47" s="47" t="n">
        <v>0</v>
      </c>
      <c r="L47" s="47" t="inlineStr"/>
      <c r="M47" s="47" t="inlineStr"/>
      <c r="N47" s="47" t="inlineStr"/>
      <c r="O47" s="47" t="inlineStr"/>
    </row>
    <row r="48">
      <c r="A48" s="47" t="n">
        <v>8810001559</v>
      </c>
      <c r="B48" s="47" t="inlineStr">
        <is>
          <t>BM-130-X2500底座</t>
        </is>
      </c>
      <c r="C48" s="47" t="n">
        <v>1</v>
      </c>
      <c r="D48" s="47" t="n">
        <v>0</v>
      </c>
      <c r="E48" s="47" t="n">
        <v>0</v>
      </c>
      <c r="F48" s="47" t="n">
        <v>0</v>
      </c>
      <c r="G48" s="47" t="inlineStr"/>
      <c r="H48" s="47" t="n">
        <v>1</v>
      </c>
      <c r="I48" s="47" t="inlineStr"/>
      <c r="J48" s="47" t="inlineStr"/>
      <c r="K48" s="47" t="n">
        <v>0</v>
      </c>
      <c r="L48" s="47" t="inlineStr"/>
      <c r="M48" s="47" t="inlineStr"/>
      <c r="N48" s="47" t="inlineStr"/>
      <c r="O48" s="47" t="inlineStr"/>
    </row>
    <row r="49">
      <c r="A49" s="47" t="n">
        <v>8810001558</v>
      </c>
      <c r="B49" s="47" t="inlineStr">
        <is>
          <t>BM-130-Z1500底座</t>
        </is>
      </c>
      <c r="C49" s="47" t="n">
        <v>1</v>
      </c>
      <c r="D49" s="47" t="n">
        <v>0</v>
      </c>
      <c r="E49" s="47" t="n">
        <v>0</v>
      </c>
      <c r="F49" s="47" t="n">
        <v>0</v>
      </c>
      <c r="G49" s="47" t="inlineStr"/>
      <c r="H49" s="47" t="n">
        <v>1</v>
      </c>
      <c r="I49" s="47" t="inlineStr"/>
      <c r="J49" s="47" t="inlineStr"/>
      <c r="K49" s="47" t="n">
        <v>0</v>
      </c>
      <c r="L49" s="47" t="inlineStr"/>
      <c r="M49" s="47" t="inlineStr"/>
      <c r="N49" s="47" t="inlineStr"/>
      <c r="O49" s="47" t="inlineStr"/>
    </row>
    <row r="50">
      <c r="A50" s="47" t="n">
        <v>8810001394</v>
      </c>
      <c r="B50" s="47" t="inlineStr">
        <is>
          <t>SW-220</t>
        </is>
      </c>
      <c r="C50" s="47" t="n">
        <v>0</v>
      </c>
      <c r="D50" s="47" t="n">
        <v>0</v>
      </c>
      <c r="E50" s="47" t="n">
        <v>0</v>
      </c>
      <c r="F50" s="47" t="n">
        <v>0</v>
      </c>
      <c r="G50" s="47" t="inlineStr"/>
      <c r="H50" s="47" t="inlineStr"/>
      <c r="I50" s="47" t="inlineStr"/>
      <c r="J50" s="47" t="inlineStr"/>
      <c r="K50" s="47" t="inlineStr"/>
      <c r="L50" s="47" t="inlineStr"/>
      <c r="M50" s="47" t="inlineStr"/>
      <c r="N50" s="47" t="inlineStr"/>
      <c r="O50" s="47" t="inlineStr"/>
    </row>
    <row r="51">
      <c r="A51" s="47" t="n">
        <v>8810001378</v>
      </c>
      <c r="B51" s="47" t="inlineStr">
        <is>
          <t>SW-216</t>
        </is>
      </c>
      <c r="C51" s="47" t="n">
        <v>1</v>
      </c>
      <c r="D51" s="47" t="n">
        <v>0</v>
      </c>
      <c r="E51" s="47" t="n">
        <v>0</v>
      </c>
      <c r="F51" s="47" t="n">
        <v>0</v>
      </c>
      <c r="G51" s="47" t="inlineStr"/>
      <c r="H51" s="47" t="n">
        <v>2</v>
      </c>
      <c r="I51" s="47" t="inlineStr"/>
      <c r="J51" s="47" t="n">
        <v>0</v>
      </c>
      <c r="K51" s="47" t="inlineStr"/>
      <c r="L51" s="47" t="inlineStr"/>
      <c r="M51" s="47" t="inlineStr"/>
      <c r="N51" s="47" t="inlineStr"/>
      <c r="O51" s="47" t="inlineStr"/>
    </row>
    <row r="52">
      <c r="A52" s="47" t="n">
        <v>8810001386</v>
      </c>
      <c r="B52" s="47" t="inlineStr">
        <is>
          <t>SW-316</t>
        </is>
      </c>
      <c r="C52" s="47" t="n">
        <v>2</v>
      </c>
      <c r="D52" s="47" t="n">
        <v>0</v>
      </c>
      <c r="E52" s="47" t="n">
        <v>1</v>
      </c>
      <c r="F52" s="47" t="n">
        <v>0</v>
      </c>
      <c r="G52" s="47" t="inlineStr"/>
      <c r="H52" s="47" t="n">
        <v>3</v>
      </c>
      <c r="I52" s="47" t="inlineStr"/>
      <c r="J52" s="47" t="n">
        <v>1</v>
      </c>
      <c r="K52" s="47" t="n">
        <v>1</v>
      </c>
      <c r="L52" s="47" t="inlineStr"/>
      <c r="M52" s="47" t="inlineStr"/>
      <c r="N52" s="47" t="inlineStr"/>
      <c r="O52" s="47" t="inlineStr"/>
    </row>
    <row r="53">
      <c r="A53" s="47" t="n">
        <v>8810001396</v>
      </c>
      <c r="B53" s="47" t="inlineStr">
        <is>
          <t>SW-320</t>
        </is>
      </c>
      <c r="C53" s="47" t="n">
        <v>0</v>
      </c>
      <c r="D53" s="47" t="n">
        <v>0</v>
      </c>
      <c r="E53" s="47" t="n">
        <v>1</v>
      </c>
      <c r="F53" s="47" t="n">
        <v>0</v>
      </c>
      <c r="G53" s="47" t="inlineStr"/>
      <c r="H53" s="47" t="inlineStr"/>
      <c r="I53" s="47" t="inlineStr"/>
      <c r="J53" s="47" t="inlineStr"/>
      <c r="K53" s="47" t="inlineStr"/>
      <c r="L53" s="47" t="inlineStr"/>
      <c r="M53" s="47" t="inlineStr"/>
      <c r="N53" s="47" t="inlineStr"/>
      <c r="O53" s="47" t="inlineStr"/>
    </row>
    <row r="54">
      <c r="A54" s="47" t="n">
        <v>8810001302</v>
      </c>
      <c r="B54" s="47" t="inlineStr">
        <is>
          <t>SW-323</t>
        </is>
      </c>
      <c r="C54" s="47" t="n">
        <v>1</v>
      </c>
      <c r="D54" s="47" t="n">
        <v>0</v>
      </c>
      <c r="E54" s="47" t="n">
        <v>0</v>
      </c>
      <c r="F54" s="47" t="n">
        <v>0</v>
      </c>
      <c r="G54" s="47" t="inlineStr"/>
      <c r="H54" s="47" t="inlineStr"/>
      <c r="I54" s="47" t="inlineStr"/>
      <c r="J54" s="47" t="n">
        <v>0</v>
      </c>
      <c r="K54" s="47" t="inlineStr"/>
      <c r="L54" s="47" t="inlineStr"/>
      <c r="M54" s="47" t="inlineStr"/>
      <c r="N54" s="47" t="inlineStr"/>
      <c r="O54" s="47" t="inlineStr"/>
    </row>
    <row r="55">
      <c r="A55" s="47" t="n">
        <v>8810001297</v>
      </c>
      <c r="B55" s="47" t="inlineStr">
        <is>
          <t>SW-326</t>
        </is>
      </c>
      <c r="C55" s="47" t="n">
        <v>0</v>
      </c>
      <c r="D55" s="47" t="n">
        <v>0</v>
      </c>
      <c r="E55" s="47" t="n">
        <v>0</v>
      </c>
      <c r="F55" s="47" t="n">
        <v>0</v>
      </c>
      <c r="G55" s="47" t="inlineStr"/>
      <c r="H55" s="47" t="inlineStr"/>
      <c r="I55" s="47" t="inlineStr"/>
      <c r="J55" s="47" t="inlineStr"/>
      <c r="K55" s="47" t="n">
        <v>0</v>
      </c>
      <c r="L55" s="47" t="inlineStr"/>
      <c r="M55" s="47" t="inlineStr"/>
      <c r="N55" s="47" t="inlineStr"/>
      <c r="O55" s="47" t="inlineStr"/>
    </row>
    <row r="56">
      <c r="A56" s="47" t="n">
        <v>8810001398</v>
      </c>
      <c r="B56" s="47" t="inlineStr">
        <is>
          <t>SW-420</t>
        </is>
      </c>
      <c r="C56" s="47" t="n">
        <v>0</v>
      </c>
      <c r="D56" s="47" t="n">
        <v>0</v>
      </c>
      <c r="E56" s="47" t="n">
        <v>0</v>
      </c>
      <c r="F56" s="47" t="n">
        <v>0</v>
      </c>
      <c r="G56" s="47" t="inlineStr"/>
      <c r="H56" s="47" t="inlineStr"/>
      <c r="I56" s="47" t="inlineStr"/>
      <c r="J56" s="47" t="inlineStr"/>
      <c r="K56" s="47" t="inlineStr"/>
      <c r="L56" s="47" t="inlineStr"/>
      <c r="M56" s="47" t="inlineStr"/>
      <c r="N56" s="47" t="inlineStr"/>
      <c r="O56" s="47" t="inlineStr"/>
    </row>
    <row r="57">
      <c r="A57" s="47" t="n">
        <v>8810001270</v>
      </c>
      <c r="B57" s="47" t="inlineStr">
        <is>
          <t>SW-423</t>
        </is>
      </c>
      <c r="C57" s="47" t="n">
        <v>1</v>
      </c>
      <c r="D57" s="47" t="n">
        <v>0</v>
      </c>
      <c r="E57" s="47" t="n">
        <v>0</v>
      </c>
      <c r="F57" s="47" t="n">
        <v>0</v>
      </c>
      <c r="G57" s="47" t="inlineStr"/>
      <c r="H57" s="47" t="n">
        <v>1</v>
      </c>
      <c r="I57" s="47" t="inlineStr"/>
      <c r="J57" s="47" t="inlineStr"/>
      <c r="K57" s="47" t="inlineStr"/>
      <c r="L57" s="47" t="inlineStr"/>
      <c r="M57" s="47" t="inlineStr">
        <is>
          <t>M4:5.5HR M3:41HR M7:7HR</t>
        </is>
      </c>
      <c r="N57" s="47" t="n">
        <v>3</v>
      </c>
      <c r="O57" s="47" t="inlineStr">
        <is>
          <t>轉研</t>
        </is>
      </c>
    </row>
    <row r="58">
      <c r="A58" s="47" t="n">
        <v>8810001388</v>
      </c>
      <c r="B58" s="47" t="inlineStr">
        <is>
          <t>SW-416</t>
        </is>
      </c>
      <c r="C58" s="47" t="n">
        <v>0</v>
      </c>
      <c r="D58" s="47" t="n">
        <v>0</v>
      </c>
      <c r="E58" s="47" t="n">
        <v>0</v>
      </c>
      <c r="F58" s="47" t="n">
        <v>0</v>
      </c>
      <c r="G58" s="47" t="inlineStr"/>
      <c r="H58" s="47" t="inlineStr"/>
      <c r="I58" s="47" t="inlineStr"/>
      <c r="J58" s="47" t="inlineStr"/>
      <c r="K58" s="47" t="inlineStr"/>
      <c r="L58" s="47" t="inlineStr"/>
      <c r="M58" s="47" t="inlineStr"/>
      <c r="N58" s="47" t="inlineStr"/>
      <c r="O58" s="47" t="inlineStr"/>
    </row>
    <row r="59">
      <c r="A59" s="47" t="n">
        <v>8810001244</v>
      </c>
      <c r="B59" s="47" t="inlineStr">
        <is>
          <t>SW-426</t>
        </is>
      </c>
      <c r="C59" s="47" t="n">
        <v>0</v>
      </c>
      <c r="D59" s="47" t="n">
        <v>0</v>
      </c>
      <c r="E59" s="47" t="n">
        <v>1</v>
      </c>
      <c r="F59" s="47" t="n">
        <v>0</v>
      </c>
      <c r="G59" s="47" t="inlineStr"/>
      <c r="H59" s="47" t="inlineStr"/>
      <c r="I59" s="47" t="inlineStr"/>
      <c r="J59" s="47" t="inlineStr"/>
      <c r="K59" s="47" t="inlineStr"/>
      <c r="L59" s="47" t="inlineStr"/>
      <c r="M59" s="47" t="inlineStr"/>
      <c r="N59" s="47" t="inlineStr"/>
      <c r="O59" s="47" t="inlineStr"/>
    </row>
    <row r="60">
      <c r="A60" s="47" t="n">
        <v>8810001304</v>
      </c>
      <c r="B60" s="47" t="inlineStr">
        <is>
          <t>SW-523</t>
        </is>
      </c>
      <c r="C60" s="47" t="n">
        <v>0</v>
      </c>
      <c r="D60" s="47" t="n">
        <v>0</v>
      </c>
      <c r="E60" s="47" t="n">
        <v>0</v>
      </c>
      <c r="F60" s="47" t="n">
        <v>0</v>
      </c>
      <c r="G60" s="47" t="inlineStr"/>
      <c r="H60" s="47" t="inlineStr"/>
      <c r="I60" s="47" t="inlineStr"/>
      <c r="J60" s="47" t="inlineStr"/>
      <c r="K60" s="47" t="inlineStr"/>
      <c r="L60" s="47" t="inlineStr"/>
      <c r="M60" s="47" t="inlineStr"/>
      <c r="N60" s="47" t="inlineStr"/>
      <c r="O60" s="47" t="inlineStr"/>
    </row>
    <row r="61">
      <c r="A61" s="47" t="n">
        <v>8810001274</v>
      </c>
      <c r="B61" s="47" t="inlineStr">
        <is>
          <t>SW-526</t>
        </is>
      </c>
      <c r="C61" s="47" t="n">
        <v>0</v>
      </c>
      <c r="D61" s="47" t="n">
        <v>0</v>
      </c>
      <c r="E61" s="47" t="n">
        <v>0</v>
      </c>
      <c r="F61" s="47" t="n">
        <v>0</v>
      </c>
      <c r="G61" s="47" t="inlineStr"/>
      <c r="H61" s="47" t="inlineStr"/>
      <c r="I61" s="47" t="inlineStr"/>
      <c r="J61" s="47" t="inlineStr"/>
      <c r="K61" s="47" t="inlineStr"/>
      <c r="L61" s="47" t="inlineStr"/>
      <c r="M61" s="47" t="inlineStr"/>
      <c r="N61" s="47" t="inlineStr"/>
      <c r="O61" s="47" t="inlineStr"/>
    </row>
    <row r="62">
      <c r="A62" s="47" t="inlineStr"/>
      <c r="B62" s="47" t="inlineStr">
        <is>
          <t>VW7340</t>
        </is>
      </c>
      <c r="C62" s="47" t="n">
        <v>0</v>
      </c>
      <c r="D62" s="47" t="n">
        <v>0</v>
      </c>
      <c r="E62" s="47" t="n">
        <v>0</v>
      </c>
      <c r="F62" s="47" t="n">
        <v>0</v>
      </c>
      <c r="G62" s="47" t="inlineStr"/>
      <c r="H62" s="47" t="n">
        <v>0</v>
      </c>
      <c r="I62" s="47" t="inlineStr"/>
      <c r="J62" s="47" t="inlineStr"/>
      <c r="K62" s="47" t="inlineStr"/>
      <c r="L62" s="47" t="inlineStr"/>
      <c r="M62" s="47" t="inlineStr"/>
      <c r="N62" s="47" t="inlineStr"/>
      <c r="O62" s="47" t="inlineStr"/>
    </row>
    <row r="63">
      <c r="A63" s="47" t="n">
        <v>8810000938</v>
      </c>
      <c r="B63" s="47" t="inlineStr">
        <is>
          <t>LG-500</t>
        </is>
      </c>
      <c r="C63" s="47" t="n">
        <v>0</v>
      </c>
      <c r="D63" s="47" t="n">
        <v>0</v>
      </c>
      <c r="E63" s="47" t="n">
        <v>0</v>
      </c>
      <c r="F63" s="47" t="n">
        <v>0</v>
      </c>
      <c r="G63" s="47" t="inlineStr"/>
      <c r="H63" s="47" t="inlineStr"/>
      <c r="I63" s="47" t="inlineStr"/>
      <c r="J63" s="47" t="n">
        <v>0</v>
      </c>
      <c r="K63" s="47" t="inlineStr"/>
      <c r="L63" s="47" t="n">
        <v>34</v>
      </c>
      <c r="M63" s="47" t="inlineStr"/>
      <c r="N63" s="47" t="inlineStr"/>
      <c r="O63" s="47" t="inlineStr"/>
    </row>
    <row r="64">
      <c r="A64" s="47" t="inlineStr">
        <is>
          <t>8810000957</t>
        </is>
      </c>
      <c r="B64" s="47" t="inlineStr">
        <is>
          <t>LG-800</t>
        </is>
      </c>
      <c r="C64" s="47" t="n">
        <v>6</v>
      </c>
      <c r="D64" s="47" t="n">
        <v>0</v>
      </c>
      <c r="E64" s="47" t="n">
        <v>0</v>
      </c>
      <c r="F64" s="47" t="n">
        <v>0</v>
      </c>
      <c r="G64" s="47" t="inlineStr"/>
      <c r="H64" s="47" t="n">
        <v>6</v>
      </c>
      <c r="I64" s="47" t="inlineStr"/>
      <c r="J64" s="47" t="inlineStr"/>
      <c r="K64" s="47" t="inlineStr"/>
      <c r="L64" s="47" t="inlineStr"/>
      <c r="M64" s="47" t="inlineStr"/>
      <c r="N64" s="47" t="inlineStr"/>
      <c r="O64" s="47" t="inlineStr"/>
    </row>
    <row r="65">
      <c r="A65" s="47" t="n">
        <v>8810001242</v>
      </c>
      <c r="B65" s="47" t="inlineStr">
        <is>
          <t>LG-1370</t>
        </is>
      </c>
      <c r="C65" s="47" t="n">
        <v>0</v>
      </c>
      <c r="D65" s="47" t="n">
        <v>0</v>
      </c>
      <c r="E65" s="47" t="n">
        <v>0</v>
      </c>
      <c r="F65" s="47" t="n">
        <v>0</v>
      </c>
      <c r="G65" s="47" t="inlineStr"/>
      <c r="H65" s="47" t="inlineStr"/>
      <c r="I65" s="47" t="inlineStr"/>
      <c r="J65" s="47" t="inlineStr"/>
      <c r="K65" s="47" t="inlineStr"/>
      <c r="L65" s="47" t="inlineStr"/>
      <c r="M65" s="47" t="inlineStr"/>
      <c r="N65" s="47" t="inlineStr"/>
      <c r="O65" s="47" t="inlineStr"/>
    </row>
    <row r="66">
      <c r="A66" s="47" t="n">
        <v>8810000868</v>
      </c>
      <c r="B66" s="47" t="inlineStr">
        <is>
          <t>MVP-860</t>
        </is>
      </c>
      <c r="C66" s="47" t="n">
        <v>1</v>
      </c>
      <c r="D66" s="47" t="n">
        <v>0</v>
      </c>
      <c r="E66" s="47" t="n">
        <v>0</v>
      </c>
      <c r="F66" s="47" t="n">
        <v>0</v>
      </c>
      <c r="G66" s="47" t="inlineStr"/>
      <c r="H66" s="47" t="n">
        <v>2</v>
      </c>
      <c r="I66" s="47" t="inlineStr"/>
      <c r="J66" s="47" t="inlineStr"/>
      <c r="K66" s="47" t="inlineStr"/>
      <c r="L66" s="47" t="inlineStr"/>
      <c r="M66" s="47" t="inlineStr"/>
      <c r="N66" s="47" t="inlineStr"/>
      <c r="O66" s="47" t="inlineStr"/>
    </row>
    <row r="67">
      <c r="A67" s="47" t="n">
        <v>8810001344</v>
      </c>
      <c r="B67" s="47" t="inlineStr">
        <is>
          <t>MVP-11</t>
        </is>
      </c>
      <c r="C67" s="47" t="n">
        <v>0</v>
      </c>
      <c r="D67" s="47" t="n">
        <v>0</v>
      </c>
      <c r="E67" s="47" t="n">
        <v>0</v>
      </c>
      <c r="F67" s="47" t="n">
        <v>0</v>
      </c>
      <c r="G67" s="47" t="inlineStr"/>
      <c r="H67" s="47" t="n">
        <v>0</v>
      </c>
      <c r="I67" s="47" t="inlineStr"/>
      <c r="J67" s="47" t="inlineStr"/>
      <c r="K67" s="47" t="inlineStr"/>
      <c r="L67" s="47" t="inlineStr"/>
      <c r="M67" s="47" t="inlineStr"/>
      <c r="N67" s="47" t="inlineStr"/>
      <c r="O67" s="47" t="inlineStr"/>
    </row>
    <row r="68">
      <c r="A68" s="47" t="n">
        <v>8810001458</v>
      </c>
      <c r="B68" s="47" t="inlineStr">
        <is>
          <t>A10</t>
        </is>
      </c>
      <c r="C68" s="47" t="n">
        <v>0</v>
      </c>
      <c r="D68" s="47" t="n">
        <v>0</v>
      </c>
      <c r="E68" s="47" t="n">
        <v>0</v>
      </c>
      <c r="F68" s="47" t="n">
        <v>0</v>
      </c>
      <c r="G68" s="47" t="inlineStr"/>
      <c r="H68" s="47" t="inlineStr"/>
      <c r="I68" s="47" t="inlineStr"/>
      <c r="J68" s="47" t="inlineStr"/>
      <c r="K68" s="47" t="inlineStr"/>
      <c r="L68" s="47" t="inlineStr"/>
      <c r="M68" s="47" t="inlineStr"/>
      <c r="N68" s="47" t="inlineStr"/>
      <c r="O68" s="47" t="inlineStr"/>
    </row>
    <row r="69">
      <c r="A69" s="47" t="n">
        <v>8810001190</v>
      </c>
      <c r="B69" s="47" t="inlineStr">
        <is>
          <t>S-PLUS 8</t>
        </is>
      </c>
      <c r="C69" s="47" t="n">
        <v>0</v>
      </c>
      <c r="D69" s="47" t="n">
        <v>0</v>
      </c>
      <c r="E69" s="47" t="n">
        <v>0</v>
      </c>
      <c r="F69" s="47" t="n">
        <v>0</v>
      </c>
      <c r="G69" s="47" t="inlineStr"/>
      <c r="H69" s="47" t="inlineStr"/>
      <c r="I69" s="47" t="inlineStr"/>
      <c r="J69" s="47" t="inlineStr"/>
      <c r="K69" s="47" t="inlineStr"/>
      <c r="L69" s="47" t="inlineStr"/>
      <c r="M69" s="47" t="inlineStr"/>
      <c r="N69" s="47" t="inlineStr"/>
      <c r="O69" s="47" t="inlineStr"/>
    </row>
    <row r="70">
      <c r="A70" s="47" t="n">
        <v>8810001415</v>
      </c>
      <c r="B70" s="47" t="inlineStr">
        <is>
          <t>S8</t>
        </is>
      </c>
      <c r="C70" s="47" t="n">
        <v>0</v>
      </c>
      <c r="D70" s="47" t="n">
        <v>0</v>
      </c>
      <c r="E70" s="47" t="n">
        <v>0</v>
      </c>
      <c r="F70" s="47" t="n">
        <v>0</v>
      </c>
      <c r="G70" s="47" t="inlineStr"/>
      <c r="H70" s="47" t="inlineStr"/>
      <c r="I70" s="47" t="inlineStr"/>
      <c r="J70" s="47" t="inlineStr"/>
      <c r="K70" s="47" t="inlineStr"/>
      <c r="L70" s="47" t="inlineStr"/>
      <c r="M70" s="47" t="inlineStr"/>
      <c r="N70" s="47" t="inlineStr"/>
      <c r="O70" s="47" t="inlineStr"/>
    </row>
    <row r="71">
      <c r="A71" s="47" t="n">
        <v>8810001460</v>
      </c>
      <c r="B71" s="47" t="inlineStr">
        <is>
          <t>S10</t>
        </is>
      </c>
      <c r="C71" s="47" t="n">
        <v>0</v>
      </c>
      <c r="D71" s="47" t="n">
        <v>0</v>
      </c>
      <c r="E71" s="47" t="n">
        <v>0</v>
      </c>
      <c r="F71" s="47" t="n">
        <v>0</v>
      </c>
      <c r="G71" s="47" t="inlineStr"/>
      <c r="H71" s="47" t="inlineStr"/>
      <c r="I71" s="47" t="inlineStr"/>
      <c r="J71" s="47" t="inlineStr"/>
      <c r="K71" s="47" t="inlineStr"/>
      <c r="L71" s="47" t="inlineStr"/>
      <c r="M71" s="47" t="inlineStr"/>
      <c r="N71" s="47" t="inlineStr"/>
      <c r="O71" s="47" t="inlineStr"/>
    </row>
    <row r="72">
      <c r="A72" s="47" t="n">
        <v>8810001527</v>
      </c>
      <c r="B72" s="47" t="inlineStr">
        <is>
          <t>LG-1370-NEO</t>
        </is>
      </c>
      <c r="C72" s="47" t="n">
        <v>0</v>
      </c>
      <c r="D72" s="47" t="n">
        <v>0</v>
      </c>
      <c r="E72" s="47" t="n">
        <v>0</v>
      </c>
      <c r="F72" s="47" t="n">
        <v>1</v>
      </c>
      <c r="G72" s="47" t="inlineStr"/>
      <c r="H72" s="47" t="n">
        <v>1</v>
      </c>
      <c r="I72" s="47" t="inlineStr"/>
      <c r="J72" s="47" t="n">
        <v>0</v>
      </c>
      <c r="K72" s="47" t="inlineStr"/>
      <c r="L72" s="47" t="inlineStr"/>
      <c r="M72" s="47" t="inlineStr"/>
      <c r="N72" s="47" t="inlineStr"/>
      <c r="O72" s="47" t="inlineStr"/>
    </row>
    <row r="73">
      <c r="A73" s="47" t="n">
        <v>8810001530</v>
      </c>
      <c r="B73" s="47" t="inlineStr">
        <is>
          <t>LG-1000-NEO</t>
        </is>
      </c>
      <c r="C73" s="47" t="n">
        <v>0</v>
      </c>
      <c r="D73" s="47" t="n">
        <v>0</v>
      </c>
      <c r="E73" s="47" t="n">
        <v>0</v>
      </c>
      <c r="F73" s="47" t="n">
        <v>0</v>
      </c>
      <c r="G73" s="47" t="inlineStr"/>
      <c r="H73" s="47" t="inlineStr"/>
      <c r="I73" s="47" t="inlineStr"/>
      <c r="J73" s="47" t="n">
        <v>0</v>
      </c>
      <c r="K73" s="47" t="inlineStr"/>
      <c r="L73" s="47" t="inlineStr"/>
      <c r="M73" s="47" t="inlineStr">
        <is>
          <t>M4:4HR，M3:16HR</t>
        </is>
      </c>
      <c r="N73" s="47" t="inlineStr"/>
      <c r="O73" s="47" t="inlineStr"/>
    </row>
    <row r="74">
      <c r="A74" s="47" t="n">
        <v>8810000953</v>
      </c>
      <c r="B74" s="47" t="inlineStr">
        <is>
          <t>HCMC-1270</t>
        </is>
      </c>
      <c r="C74" s="47" t="n">
        <v>1</v>
      </c>
      <c r="D74" s="47" t="n">
        <v>0</v>
      </c>
      <c r="E74" s="47" t="n">
        <v>0</v>
      </c>
      <c r="F74" s="47" t="n">
        <v>0</v>
      </c>
      <c r="G74" s="47" t="inlineStr"/>
      <c r="H74" s="47" t="n">
        <v>1</v>
      </c>
      <c r="I74" s="47" t="inlineStr"/>
      <c r="J74" s="47" t="n">
        <v>0</v>
      </c>
      <c r="K74" s="47" t="inlineStr"/>
      <c r="L74" s="47" t="inlineStr"/>
      <c r="M74" s="47" t="inlineStr"/>
      <c r="N74" s="47" t="inlineStr"/>
      <c r="O74" s="4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品號</t>
        </is>
      </c>
      <c r="B1" s="75" t="inlineStr">
        <is>
          <t>機型</t>
        </is>
      </c>
      <c r="C1" s="75" t="inlineStr">
        <is>
          <t>素材</t>
        </is>
      </c>
      <c r="D1" s="75" t="inlineStr">
        <is>
          <t>製程1</t>
        </is>
      </c>
      <c r="E1" s="75" t="inlineStr">
        <is>
          <t>製程2</t>
        </is>
      </c>
      <c r="F1" s="75" t="inlineStr">
        <is>
          <t>製程3</t>
        </is>
      </c>
      <c r="G1" s="75" t="inlineStr">
        <is>
          <t>製程4</t>
        </is>
      </c>
      <c r="H1" s="75" t="inlineStr">
        <is>
          <t>成品</t>
        </is>
      </c>
      <c r="I1" s="75" t="inlineStr">
        <is>
          <t>Unnamed: 8</t>
        </is>
      </c>
      <c r="J1" s="75" t="inlineStr">
        <is>
          <t>總數</t>
        </is>
      </c>
      <c r="K1" s="75" t="inlineStr">
        <is>
          <t>預扣件</t>
        </is>
      </c>
      <c r="L1" s="75" t="inlineStr">
        <is>
          <t>報廢品</t>
        </is>
      </c>
      <c r="M1" s="75" t="inlineStr">
        <is>
          <t>Unnamed: 12</t>
        </is>
      </c>
      <c r="N1" s="75" t="inlineStr">
        <is>
          <t>Unnamed: 13</t>
        </is>
      </c>
      <c r="O1" s="75" t="inlineStr">
        <is>
          <t>Unnamed: 14</t>
        </is>
      </c>
      <c r="P1" s="75" t="inlineStr">
        <is>
          <t>已開單</t>
        </is>
      </c>
      <c r="Q1" s="75" t="inlineStr">
        <is>
          <t>Unnamed: 16</t>
        </is>
      </c>
    </row>
    <row r="2">
      <c r="A2" s="47" t="inlineStr"/>
      <c r="B2" s="47" t="inlineStr">
        <is>
          <t>AMZ-4265</t>
        </is>
      </c>
      <c r="C2" s="47" t="n">
        <v>1</v>
      </c>
      <c r="D2" s="47" t="n">
        <v>0</v>
      </c>
      <c r="E2" s="47" t="n">
        <v>0</v>
      </c>
      <c r="F2" s="47" t="n">
        <v>0</v>
      </c>
      <c r="G2" s="47" t="n">
        <v>0</v>
      </c>
      <c r="H2" s="47" t="n">
        <v>0</v>
      </c>
      <c r="I2" s="47" t="inlineStr"/>
      <c r="J2" s="47" t="n">
        <v>1</v>
      </c>
      <c r="K2" s="47" t="inlineStr"/>
      <c r="L2" s="47" t="inlineStr"/>
      <c r="M2" s="47" t="inlineStr"/>
      <c r="N2" s="47" t="inlineStr"/>
      <c r="O2" s="47" t="inlineStr"/>
      <c r="P2" s="47" t="inlineStr"/>
      <c r="Q2" s="47" t="inlineStr"/>
    </row>
    <row r="3">
      <c r="A3" s="47" t="n">
        <v>8813000949</v>
      </c>
      <c r="B3" s="47" t="inlineStr">
        <is>
          <t>HEP-2150</t>
        </is>
      </c>
      <c r="C3" s="47" t="n">
        <v>2</v>
      </c>
      <c r="D3" s="47" t="n">
        <v>0</v>
      </c>
      <c r="E3" s="47" t="n">
        <v>0</v>
      </c>
      <c r="F3" s="47" t="n">
        <v>0</v>
      </c>
      <c r="G3" s="47" t="n">
        <v>0</v>
      </c>
      <c r="H3" s="47" t="n">
        <v>0</v>
      </c>
      <c r="I3" s="47" t="inlineStr"/>
      <c r="J3" s="47" t="n">
        <v>2</v>
      </c>
      <c r="K3" s="47" t="inlineStr"/>
      <c r="L3" s="47" t="inlineStr"/>
      <c r="M3" s="47" t="inlineStr"/>
      <c r="N3" s="47" t="inlineStr"/>
      <c r="O3" s="47" t="inlineStr"/>
      <c r="P3" s="47" t="inlineStr"/>
      <c r="Q3" s="47" t="inlineStr"/>
    </row>
    <row r="4">
      <c r="A4" s="47" t="n">
        <v>8813001304</v>
      </c>
      <c r="B4" s="47" t="inlineStr">
        <is>
          <t>HSA-216</t>
        </is>
      </c>
      <c r="C4" s="47" t="n">
        <v>0</v>
      </c>
      <c r="D4" s="47" t="n">
        <v>0</v>
      </c>
      <c r="E4" s="47" t="n">
        <v>0</v>
      </c>
      <c r="F4" s="47" t="n">
        <v>0</v>
      </c>
      <c r="G4" s="47" t="n">
        <v>5</v>
      </c>
      <c r="H4" s="47" t="n">
        <v>5</v>
      </c>
      <c r="I4" s="47" t="n">
        <v>5</v>
      </c>
      <c r="J4" s="47" t="n">
        <v>5</v>
      </c>
      <c r="K4" s="47" t="inlineStr"/>
      <c r="L4" s="47" t="n">
        <v>0</v>
      </c>
      <c r="M4" s="47" t="inlineStr"/>
      <c r="N4" s="47" t="inlineStr"/>
      <c r="O4" s="47" t="inlineStr"/>
      <c r="P4" s="47" t="inlineStr"/>
      <c r="Q4" s="47" t="inlineStr"/>
    </row>
    <row r="5">
      <c r="A5" s="47" t="n">
        <v>8813000963</v>
      </c>
      <c r="B5" s="47" t="inlineStr">
        <is>
          <t>HEP3150</t>
        </is>
      </c>
      <c r="C5" s="47" t="n">
        <v>0</v>
      </c>
      <c r="D5" s="47" t="n">
        <v>0</v>
      </c>
      <c r="E5" s="47" t="n">
        <v>0</v>
      </c>
      <c r="F5" s="47" t="inlineStr"/>
      <c r="G5" s="47" t="inlineStr"/>
      <c r="H5" s="47" t="n">
        <v>0</v>
      </c>
      <c r="I5" s="47" t="inlineStr"/>
      <c r="J5" s="47" t="inlineStr"/>
      <c r="K5" s="47" t="inlineStr"/>
      <c r="L5" s="47" t="inlineStr"/>
      <c r="M5" s="47" t="inlineStr"/>
      <c r="N5" s="47" t="inlineStr"/>
      <c r="O5" s="47" t="inlineStr"/>
      <c r="P5" s="47" t="n">
        <v>2</v>
      </c>
      <c r="Q5" s="47" t="inlineStr"/>
    </row>
    <row r="6">
      <c r="A6" s="47" t="n">
        <v>8813001305</v>
      </c>
      <c r="B6" s="47" t="inlineStr">
        <is>
          <t>HSA-316</t>
        </is>
      </c>
      <c r="C6" s="47" t="n">
        <v>1</v>
      </c>
      <c r="D6" s="47" t="n">
        <v>0</v>
      </c>
      <c r="E6" s="47" t="n">
        <v>0</v>
      </c>
      <c r="F6" s="47" t="n">
        <v>0</v>
      </c>
      <c r="G6" s="47" t="n">
        <v>1</v>
      </c>
      <c r="H6" s="47" t="n">
        <v>1</v>
      </c>
      <c r="I6" s="47" t="n">
        <v>4</v>
      </c>
      <c r="J6" s="47" t="n">
        <v>4</v>
      </c>
      <c r="K6" s="47" t="inlineStr"/>
      <c r="L6" s="47" t="n">
        <v>0</v>
      </c>
      <c r="M6" s="47" t="inlineStr"/>
      <c r="N6" s="47" t="inlineStr">
        <is>
          <t>W1:10HR,W2:27HR,W3:5.5HR</t>
        </is>
      </c>
      <c r="O6" s="47" t="inlineStr"/>
      <c r="P6" s="47" t="inlineStr"/>
      <c r="Q6" s="47" t="inlineStr"/>
    </row>
    <row r="7">
      <c r="A7" s="47" t="n">
        <v>8813001063</v>
      </c>
      <c r="B7" s="47" t="inlineStr">
        <is>
          <t>HSA-220</t>
        </is>
      </c>
      <c r="C7" s="47" t="n">
        <v>0</v>
      </c>
      <c r="D7" s="47" t="n">
        <v>0</v>
      </c>
      <c r="E7" s="47" t="n">
        <v>0</v>
      </c>
      <c r="F7" s="47" t="inlineStr"/>
      <c r="G7" s="47" t="inlineStr"/>
      <c r="H7" s="47" t="n">
        <v>0</v>
      </c>
      <c r="I7" s="47" t="inlineStr"/>
      <c r="J7" s="47" t="inlineStr"/>
      <c r="K7" s="47" t="inlineStr"/>
      <c r="L7" s="47" t="inlineStr"/>
      <c r="M7" s="47" t="inlineStr"/>
      <c r="N7" s="47" t="inlineStr"/>
      <c r="O7" s="47" t="inlineStr"/>
      <c r="P7" s="47" t="inlineStr"/>
      <c r="Q7" s="47" t="inlineStr"/>
    </row>
    <row r="8">
      <c r="A8" s="47" t="n">
        <v>8813001071</v>
      </c>
      <c r="B8" s="47" t="inlineStr">
        <is>
          <t>HSA-320</t>
        </is>
      </c>
      <c r="C8" s="47" t="n">
        <v>1</v>
      </c>
      <c r="D8" s="47" t="n">
        <v>0</v>
      </c>
      <c r="E8" s="47" t="n">
        <v>0</v>
      </c>
      <c r="F8" s="47" t="inlineStr"/>
      <c r="G8" s="47" t="inlineStr"/>
      <c r="H8" s="47" t="n">
        <v>0</v>
      </c>
      <c r="I8" s="47" t="inlineStr"/>
      <c r="J8" s="47" t="inlineStr"/>
      <c r="K8" s="47" t="inlineStr"/>
      <c r="L8" s="47" t="n">
        <v>0</v>
      </c>
      <c r="M8" s="47" t="inlineStr"/>
      <c r="N8" s="47" t="inlineStr">
        <is>
          <t>自修T溝尺寸破工公差(第三區-噴漆)-12/22</t>
        </is>
      </c>
      <c r="O8" s="47" t="inlineStr"/>
      <c r="P8" s="47" t="n">
        <v>3</v>
      </c>
      <c r="Q8" s="47" t="inlineStr">
        <is>
          <t>12/10 庫存已扣</t>
        </is>
      </c>
    </row>
    <row r="9">
      <c r="A9" s="47" t="n">
        <v>8813001377</v>
      </c>
      <c r="B9" s="47" t="inlineStr">
        <is>
          <t>HSA-320_NEO</t>
        </is>
      </c>
      <c r="C9" s="47" t="n">
        <v>0</v>
      </c>
      <c r="D9" s="47" t="n">
        <v>0</v>
      </c>
      <c r="E9" s="47" t="n">
        <v>0</v>
      </c>
      <c r="F9" s="47" t="inlineStr"/>
      <c r="G9" s="47" t="inlineStr"/>
      <c r="H9" s="47" t="n">
        <v>0</v>
      </c>
      <c r="I9" s="47" t="inlineStr"/>
      <c r="J9" s="47" t="inlineStr"/>
      <c r="K9" s="47" t="inlineStr"/>
      <c r="L9" s="47" t="inlineStr"/>
      <c r="M9" s="47" t="inlineStr"/>
      <c r="N9" s="47" t="inlineStr"/>
      <c r="O9" s="47" t="inlineStr"/>
      <c r="P9" s="47" t="inlineStr"/>
      <c r="Q9" s="47" t="inlineStr"/>
    </row>
    <row r="10">
      <c r="A10" s="47" t="n">
        <v>8813001120</v>
      </c>
      <c r="B10" s="47" t="inlineStr">
        <is>
          <t>HSA-323</t>
        </is>
      </c>
      <c r="C10" s="47" t="n">
        <v>0</v>
      </c>
      <c r="D10" s="47" t="n">
        <v>0</v>
      </c>
      <c r="E10" s="47" t="n">
        <v>2</v>
      </c>
      <c r="F10" s="47" t="n">
        <v>0</v>
      </c>
      <c r="G10" s="47" t="n">
        <v>0</v>
      </c>
      <c r="H10" s="47" t="n">
        <v>1</v>
      </c>
      <c r="I10" s="47" t="n">
        <v>2</v>
      </c>
      <c r="J10" s="47" t="n">
        <v>1</v>
      </c>
      <c r="K10" s="47" t="n">
        <v>0</v>
      </c>
      <c r="L10" s="47" t="n">
        <v>0</v>
      </c>
      <c r="M10" s="47" t="inlineStr"/>
      <c r="N10" s="47" t="inlineStr">
        <is>
          <t>W1:18HR,W2:40HR,W3:4.5HR</t>
        </is>
      </c>
      <c r="O10" s="47" t="inlineStr"/>
      <c r="P10" s="47" t="inlineStr"/>
      <c r="Q10" s="47" t="inlineStr"/>
    </row>
    <row r="11">
      <c r="A11" s="47" t="n">
        <v>8813001187</v>
      </c>
      <c r="B11" s="47" t="inlineStr">
        <is>
          <t>HSA-328</t>
        </is>
      </c>
      <c r="C11" s="47" t="n">
        <v>0</v>
      </c>
      <c r="D11" s="47" t="n">
        <v>0</v>
      </c>
      <c r="E11" s="47" t="n">
        <v>0</v>
      </c>
      <c r="F11" s="47" t="inlineStr"/>
      <c r="G11" s="47" t="inlineStr"/>
      <c r="H11" s="47" t="n">
        <v>0</v>
      </c>
      <c r="I11" s="47" t="inlineStr"/>
      <c r="J11" s="47" t="inlineStr"/>
      <c r="K11" s="47" t="inlineStr"/>
      <c r="L11" s="47" t="inlineStr"/>
      <c r="M11" s="47" t="inlineStr"/>
      <c r="N11" s="47" t="inlineStr"/>
      <c r="O11" s="47" t="inlineStr"/>
      <c r="P11" s="47" t="inlineStr"/>
      <c r="Q11" s="47" t="inlineStr"/>
    </row>
    <row r="12">
      <c r="A12" s="47" t="n">
        <v>8813001085</v>
      </c>
      <c r="B12" s="47" t="inlineStr">
        <is>
          <t>HSA-420</t>
        </is>
      </c>
      <c r="C12" s="47" t="n">
        <v>0</v>
      </c>
      <c r="D12" s="47" t="n">
        <v>0</v>
      </c>
      <c r="E12" s="47" t="n">
        <v>0</v>
      </c>
      <c r="F12" s="47" t="n">
        <v>0</v>
      </c>
      <c r="G12" s="47" t="n">
        <v>0</v>
      </c>
      <c r="H12" s="47" t="n">
        <v>0</v>
      </c>
      <c r="I12" s="47" t="n">
        <v>1</v>
      </c>
      <c r="J12" s="47" t="inlineStr"/>
      <c r="K12" s="47" t="inlineStr"/>
      <c r="L12" s="47" t="inlineStr"/>
      <c r="M12" s="47" t="inlineStr"/>
      <c r="N12" s="47" t="inlineStr"/>
      <c r="O12" s="47" t="inlineStr"/>
      <c r="P12" s="47" t="inlineStr"/>
      <c r="Q12" s="47" t="inlineStr"/>
    </row>
    <row r="13">
      <c r="A13" s="47" t="n">
        <v>8813001089</v>
      </c>
      <c r="B13" s="47" t="inlineStr">
        <is>
          <t>HSA-423_NEO</t>
        </is>
      </c>
      <c r="C13" s="47" t="n">
        <v>0</v>
      </c>
      <c r="D13" s="47" t="n">
        <v>0</v>
      </c>
      <c r="E13" s="47" t="n">
        <v>0</v>
      </c>
      <c r="F13" s="47" t="inlineStr"/>
      <c r="G13" s="47" t="inlineStr"/>
      <c r="H13" s="47" t="n">
        <v>0</v>
      </c>
      <c r="I13" s="47" t="inlineStr"/>
      <c r="J13" s="47" t="inlineStr"/>
      <c r="K13" s="47" t="inlineStr"/>
      <c r="L13" s="47" t="inlineStr"/>
      <c r="M13" s="47" t="inlineStr"/>
      <c r="N13" s="47" t="inlineStr"/>
      <c r="O13" s="47" t="inlineStr"/>
      <c r="P13" s="47" t="inlineStr"/>
      <c r="Q13" s="47" t="inlineStr"/>
    </row>
    <row r="14">
      <c r="A14" s="47" t="n">
        <v>8813001079</v>
      </c>
      <c r="B14" s="47" t="inlineStr">
        <is>
          <t>HSA-423</t>
        </is>
      </c>
      <c r="C14" s="47" t="n">
        <v>0</v>
      </c>
      <c r="D14" s="47" t="n">
        <v>0</v>
      </c>
      <c r="E14" s="47" t="n">
        <v>0</v>
      </c>
      <c r="F14" s="47" t="n">
        <v>0</v>
      </c>
      <c r="G14" s="47" t="n">
        <v>1</v>
      </c>
      <c r="H14" s="47" t="n">
        <v>0</v>
      </c>
      <c r="I14" s="47" t="n">
        <v>2</v>
      </c>
      <c r="J14" s="47" t="n">
        <v>3</v>
      </c>
      <c r="K14" s="47" t="inlineStr"/>
      <c r="L14" s="47" t="n">
        <v>1</v>
      </c>
      <c r="M14" s="47" t="inlineStr"/>
      <c r="N14" s="47" t="inlineStr">
        <is>
          <t>W1:21HR,W2:46HR,W3:5.5HR</t>
        </is>
      </c>
      <c r="O14" s="47" t="inlineStr">
        <is>
          <t>(改單-3溝X向定位溝)</t>
        </is>
      </c>
      <c r="P14" s="47" t="inlineStr"/>
      <c r="Q14" s="47" t="inlineStr"/>
    </row>
    <row r="15">
      <c r="A15" s="47" t="n">
        <v>8813001060</v>
      </c>
      <c r="B15" s="47" t="inlineStr">
        <is>
          <t>HSA-428</t>
        </is>
      </c>
      <c r="C15" s="47" t="n">
        <v>0</v>
      </c>
      <c r="D15" s="47" t="n">
        <v>0</v>
      </c>
      <c r="E15" s="47" t="n">
        <v>0</v>
      </c>
      <c r="F15" s="47" t="inlineStr"/>
      <c r="G15" s="47" t="inlineStr"/>
      <c r="H15" s="47" t="n">
        <v>0</v>
      </c>
      <c r="I15" s="47" t="inlineStr"/>
      <c r="J15" s="47" t="inlineStr"/>
      <c r="K15" s="47" t="inlineStr"/>
      <c r="L15" s="47" t="inlineStr"/>
      <c r="M15" s="47" t="inlineStr"/>
      <c r="N15" s="47" t="inlineStr"/>
      <c r="O15" s="47" t="inlineStr"/>
      <c r="P15" s="47" t="inlineStr"/>
      <c r="Q15" s="47" t="inlineStr"/>
    </row>
    <row r="16">
      <c r="A16" s="47" t="inlineStr"/>
      <c r="B16" s="47" t="inlineStr">
        <is>
          <t>HSA4320(VF)</t>
        </is>
      </c>
      <c r="C16" s="47" t="n">
        <v>1</v>
      </c>
      <c r="D16" s="47" t="n">
        <v>0</v>
      </c>
      <c r="E16" s="47" t="n">
        <v>0</v>
      </c>
      <c r="F16" s="47" t="n">
        <v>0</v>
      </c>
      <c r="G16" s="47" t="n">
        <v>0</v>
      </c>
      <c r="H16" s="47" t="n">
        <v>0</v>
      </c>
      <c r="I16" s="47" t="inlineStr"/>
      <c r="J16" s="47" t="n">
        <v>1</v>
      </c>
      <c r="K16" s="47" t="inlineStr"/>
      <c r="L16" s="47" t="inlineStr"/>
      <c r="M16" s="47" t="inlineStr"/>
      <c r="N16" s="47" t="inlineStr"/>
      <c r="O16" s="47" t="inlineStr"/>
      <c r="P16" s="47" t="inlineStr"/>
      <c r="Q16" s="47" t="inlineStr"/>
    </row>
    <row r="17">
      <c r="A17" s="47" t="n">
        <v>8813001121</v>
      </c>
      <c r="B17" s="47" t="inlineStr">
        <is>
          <t>HSA-436</t>
        </is>
      </c>
      <c r="C17" s="47" t="n">
        <v>0</v>
      </c>
      <c r="D17" s="47" t="n">
        <v>0</v>
      </c>
      <c r="E17" s="47" t="n">
        <v>0</v>
      </c>
      <c r="F17" s="47" t="inlineStr"/>
      <c r="G17" s="47" t="inlineStr"/>
      <c r="H17" s="47" t="n">
        <v>0</v>
      </c>
      <c r="I17" s="47" t="inlineStr"/>
      <c r="J17" s="47" t="inlineStr"/>
      <c r="K17" s="47" t="inlineStr"/>
      <c r="L17" s="47" t="inlineStr"/>
      <c r="M17" s="47" t="inlineStr"/>
      <c r="N17" s="47" t="inlineStr"/>
      <c r="O17" s="47" t="inlineStr"/>
      <c r="P17" s="47" t="inlineStr"/>
      <c r="Q17" s="47" t="inlineStr"/>
    </row>
    <row r="18">
      <c r="A18" s="47" t="n">
        <v>8813001147</v>
      </c>
      <c r="B18" s="47" t="inlineStr">
        <is>
          <t>HSA-523</t>
        </is>
      </c>
      <c r="C18" s="47" t="n">
        <v>0</v>
      </c>
      <c r="D18" s="47" t="n">
        <v>0</v>
      </c>
      <c r="E18" s="47" t="n">
        <v>0</v>
      </c>
      <c r="F18" s="47" t="n">
        <v>0</v>
      </c>
      <c r="G18" s="47" t="n">
        <v>0</v>
      </c>
      <c r="H18" s="47" t="n">
        <v>1</v>
      </c>
      <c r="I18" s="47" t="n">
        <v>0</v>
      </c>
      <c r="J18" s="47" t="n">
        <v>2</v>
      </c>
      <c r="K18" s="47" t="inlineStr"/>
      <c r="L18" s="47" t="inlineStr"/>
      <c r="M18" s="47" t="inlineStr"/>
      <c r="N18" s="47" t="inlineStr">
        <is>
          <t>12/10 庫存已扣</t>
        </is>
      </c>
      <c r="O18" s="47" t="inlineStr"/>
      <c r="P18" s="47" t="n">
        <v>2</v>
      </c>
      <c r="Q18" s="47" t="inlineStr"/>
    </row>
    <row r="19">
      <c r="A19" s="47" t="n">
        <v>8813001061</v>
      </c>
      <c r="B19" s="47" t="inlineStr">
        <is>
          <t>HSA-528</t>
        </is>
      </c>
      <c r="C19" s="47" t="n">
        <v>0</v>
      </c>
      <c r="D19" s="47" t="n">
        <v>0</v>
      </c>
      <c r="E19" s="47" t="n">
        <v>0</v>
      </c>
      <c r="F19" s="47" t="n">
        <v>0</v>
      </c>
      <c r="G19" s="47" t="n">
        <v>0</v>
      </c>
      <c r="H19" s="47" t="n">
        <v>0</v>
      </c>
      <c r="I19" s="47" t="inlineStr"/>
      <c r="J19" s="47" t="n">
        <v>0</v>
      </c>
      <c r="K19" s="47" t="inlineStr"/>
      <c r="L19" s="47" t="inlineStr"/>
      <c r="M19" s="47" t="inlineStr"/>
      <c r="N19" s="47" t="inlineStr"/>
      <c r="O19" s="47" t="inlineStr"/>
      <c r="P19" s="47" t="n">
        <v>2</v>
      </c>
      <c r="Q19" s="47" t="inlineStr"/>
    </row>
    <row r="20">
      <c r="A20" s="47" t="n">
        <v>8813001068</v>
      </c>
      <c r="B20" s="47" t="inlineStr">
        <is>
          <t>HSA-536</t>
        </is>
      </c>
      <c r="C20" s="47" t="n">
        <v>0</v>
      </c>
      <c r="D20" s="47" t="n">
        <v>0</v>
      </c>
      <c r="E20" s="47" t="n">
        <v>0</v>
      </c>
      <c r="F20" s="47" t="n">
        <v>0</v>
      </c>
      <c r="G20" s="47" t="n">
        <v>1</v>
      </c>
      <c r="H20" s="47" t="n">
        <v>0</v>
      </c>
      <c r="I20" s="47" t="n">
        <v>1</v>
      </c>
      <c r="J20" s="47" t="inlineStr"/>
      <c r="K20" s="47" t="inlineStr"/>
      <c r="L20" s="47" t="inlineStr"/>
      <c r="M20" s="47" t="inlineStr"/>
      <c r="N20" s="47" t="inlineStr"/>
      <c r="O20" s="47" t="inlineStr"/>
      <c r="P20" s="47" t="inlineStr"/>
      <c r="Q20" s="47" t="inlineStr"/>
    </row>
    <row r="21">
      <c r="A21" s="47" t="n">
        <v>8813001132</v>
      </c>
      <c r="B21" s="47" t="inlineStr">
        <is>
          <t>HSA-623</t>
        </is>
      </c>
      <c r="C21" s="47" t="n">
        <v>1</v>
      </c>
      <c r="D21" s="47" t="n">
        <v>0</v>
      </c>
      <c r="E21" s="47" t="n">
        <v>0</v>
      </c>
      <c r="F21" s="47" t="inlineStr"/>
      <c r="G21" s="47" t="inlineStr"/>
      <c r="H21" s="47" t="n">
        <v>0</v>
      </c>
      <c r="I21" s="47" t="inlineStr"/>
      <c r="J21" s="47" t="inlineStr"/>
      <c r="K21" s="47" t="inlineStr"/>
      <c r="L21" s="47" t="inlineStr"/>
      <c r="M21" s="47" t="inlineStr"/>
      <c r="N21" s="47" t="inlineStr"/>
      <c r="O21" s="47" t="inlineStr"/>
      <c r="P21" s="47" t="inlineStr"/>
      <c r="Q21" s="47" t="inlineStr"/>
    </row>
    <row r="22">
      <c r="A22" s="47" t="n">
        <v>8813001056</v>
      </c>
      <c r="B22" s="47" t="inlineStr">
        <is>
          <t>HSA-628</t>
        </is>
      </c>
      <c r="C22" s="47" t="n">
        <v>0</v>
      </c>
      <c r="D22" s="47" t="n">
        <v>0</v>
      </c>
      <c r="E22" s="47" t="n">
        <v>0</v>
      </c>
      <c r="F22" s="47" t="inlineStr"/>
      <c r="G22" s="47" t="inlineStr"/>
      <c r="H22" s="47" t="n">
        <v>0</v>
      </c>
      <c r="I22" s="47" t="inlineStr"/>
      <c r="J22" s="47" t="inlineStr"/>
      <c r="K22" s="47" t="inlineStr"/>
      <c r="L22" s="47" t="inlineStr"/>
      <c r="M22" s="47" t="inlineStr"/>
      <c r="N22" s="47" t="inlineStr"/>
      <c r="O22" s="47" t="inlineStr"/>
      <c r="P22" s="47" t="inlineStr"/>
      <c r="Q22" s="47" t="inlineStr"/>
    </row>
    <row r="23">
      <c r="A23" s="47" t="n">
        <v>8813001086</v>
      </c>
      <c r="B23" s="47" t="inlineStr">
        <is>
          <t>HSA-636</t>
        </is>
      </c>
      <c r="C23" s="47" t="n">
        <v>0</v>
      </c>
      <c r="D23" s="47" t="n">
        <v>0</v>
      </c>
      <c r="E23" s="47" t="n">
        <v>0</v>
      </c>
      <c r="F23" s="47" t="inlineStr"/>
      <c r="G23" s="47" t="inlineStr"/>
      <c r="H23" s="47" t="n">
        <v>0</v>
      </c>
      <c r="I23" s="47" t="inlineStr"/>
      <c r="J23" s="47" t="inlineStr"/>
      <c r="K23" s="47" t="inlineStr"/>
      <c r="L23" s="47" t="n">
        <v>0</v>
      </c>
      <c r="M23" s="47" t="inlineStr"/>
      <c r="N23" s="47" t="inlineStr"/>
      <c r="O23" s="47" t="inlineStr"/>
      <c r="P23" s="47" t="inlineStr"/>
      <c r="Q23" s="47" t="inlineStr"/>
    </row>
    <row r="24">
      <c r="A24" s="47" t="n">
        <v>8813001171</v>
      </c>
      <c r="B24" s="47" t="inlineStr">
        <is>
          <t>HSA-728</t>
        </is>
      </c>
      <c r="C24" s="47" t="n">
        <v>0</v>
      </c>
      <c r="D24" s="47" t="n">
        <v>0</v>
      </c>
      <c r="E24" s="47" t="n">
        <v>0</v>
      </c>
      <c r="F24" s="47" t="inlineStr"/>
      <c r="G24" s="47" t="inlineStr"/>
      <c r="H24" s="47" t="n">
        <v>0</v>
      </c>
      <c r="I24" s="47" t="inlineStr"/>
      <c r="J24" s="47" t="inlineStr"/>
      <c r="K24" s="47" t="inlineStr"/>
      <c r="L24" s="47" t="inlineStr"/>
      <c r="M24" s="47" t="inlineStr"/>
      <c r="N24" s="47" t="inlineStr"/>
      <c r="O24" s="47" t="inlineStr"/>
      <c r="P24" s="47" t="inlineStr"/>
      <c r="Q24" s="47" t="inlineStr"/>
    </row>
    <row r="25">
      <c r="A25" s="47" t="n">
        <v>8813001152</v>
      </c>
      <c r="B25" s="47" t="inlineStr">
        <is>
          <t>HSA-736</t>
        </is>
      </c>
      <c r="C25" s="47" t="n">
        <v>0</v>
      </c>
      <c r="D25" s="47" t="n">
        <v>0</v>
      </c>
      <c r="E25" s="47" t="n">
        <v>0</v>
      </c>
      <c r="F25" s="47" t="inlineStr"/>
      <c r="G25" s="47" t="inlineStr"/>
      <c r="H25" s="47" t="n">
        <v>0</v>
      </c>
      <c r="I25" s="47" t="inlineStr"/>
      <c r="J25" s="47" t="inlineStr"/>
      <c r="K25" s="47" t="inlineStr"/>
      <c r="L25" s="47" t="inlineStr"/>
      <c r="M25" s="47" t="inlineStr"/>
      <c r="N25" s="47" t="inlineStr"/>
      <c r="O25" s="47" t="inlineStr"/>
      <c r="P25" s="47" t="inlineStr"/>
      <c r="Q25" s="47" t="inlineStr"/>
    </row>
    <row r="26">
      <c r="A26" s="47" t="n">
        <v>8813001252</v>
      </c>
      <c r="B26" s="47" t="inlineStr">
        <is>
          <t>SW-216</t>
        </is>
      </c>
      <c r="C26" s="47" t="n">
        <v>1</v>
      </c>
      <c r="D26" s="47" t="n">
        <v>0</v>
      </c>
      <c r="E26" s="47" t="n">
        <v>0</v>
      </c>
      <c r="F26" s="47" t="n">
        <v>0</v>
      </c>
      <c r="G26" s="47" t="n">
        <v>0</v>
      </c>
      <c r="H26" s="47" t="n">
        <v>1</v>
      </c>
      <c r="I26" s="47" t="n">
        <v>1</v>
      </c>
      <c r="J26" s="47" t="n">
        <v>1</v>
      </c>
      <c r="K26" s="47" t="inlineStr"/>
      <c r="L26" s="47" t="inlineStr"/>
      <c r="M26" s="47" t="inlineStr"/>
      <c r="N26" s="47" t="inlineStr"/>
      <c r="O26" s="47" t="inlineStr"/>
      <c r="P26" s="47" t="inlineStr"/>
      <c r="Q26" s="47" t="inlineStr"/>
    </row>
    <row r="27">
      <c r="A27" s="47" t="n">
        <v>8813001178</v>
      </c>
      <c r="B27" s="47" t="inlineStr">
        <is>
          <t>SW-2616</t>
        </is>
      </c>
      <c r="C27" s="47" t="n">
        <v>0</v>
      </c>
      <c r="D27" s="47" t="n">
        <v>0</v>
      </c>
      <c r="E27" s="47" t="n">
        <v>0</v>
      </c>
      <c r="F27" s="47" t="inlineStr"/>
      <c r="G27" s="47" t="n">
        <v>0</v>
      </c>
      <c r="H27" s="47" t="n">
        <v>0</v>
      </c>
      <c r="I27" s="47" t="inlineStr"/>
      <c r="J27" s="47" t="inlineStr"/>
      <c r="K27" s="47" t="inlineStr"/>
      <c r="L27" s="47" t="inlineStr"/>
      <c r="M27" s="47" t="inlineStr"/>
      <c r="N27" s="47" t="inlineStr"/>
      <c r="O27" s="47" t="inlineStr">
        <is>
          <t>此2+1台為舊鑄件(螺姆孔大小設變)</t>
        </is>
      </c>
      <c r="P27" s="47" t="n">
        <v>1</v>
      </c>
      <c r="Q27" s="47" t="inlineStr"/>
    </row>
    <row r="28">
      <c r="A28" s="47" t="n">
        <v>8813001246</v>
      </c>
      <c r="B28" s="47" t="inlineStr">
        <is>
          <t>SW-220</t>
        </is>
      </c>
      <c r="C28" s="47" t="n">
        <v>0</v>
      </c>
      <c r="D28" s="47" t="n">
        <v>0</v>
      </c>
      <c r="E28" s="47" t="n">
        <v>0</v>
      </c>
      <c r="F28" s="47" t="inlineStr"/>
      <c r="G28" s="47" t="n">
        <v>0</v>
      </c>
      <c r="H28" s="47" t="n">
        <v>0</v>
      </c>
      <c r="I28" s="47" t="inlineStr"/>
      <c r="J28" s="47" t="inlineStr"/>
      <c r="K28" s="47" t="inlineStr"/>
      <c r="L28" s="47" t="inlineStr"/>
      <c r="M28" s="47" t="inlineStr"/>
      <c r="N28" s="47" t="inlineStr"/>
      <c r="O28" s="47" t="inlineStr"/>
      <c r="P28" s="47" t="inlineStr"/>
      <c r="Q28" s="47" t="inlineStr"/>
    </row>
    <row r="29">
      <c r="A29" s="47" t="n">
        <v>8813001254</v>
      </c>
      <c r="B29" s="47" t="inlineStr">
        <is>
          <t>SW-316</t>
        </is>
      </c>
      <c r="C29" s="47" t="n">
        <v>2</v>
      </c>
      <c r="D29" s="47" t="n">
        <v>0</v>
      </c>
      <c r="E29" s="47" t="n">
        <v>1</v>
      </c>
      <c r="F29" s="47" t="n">
        <v>0</v>
      </c>
      <c r="G29" s="47" t="n">
        <v>0</v>
      </c>
      <c r="H29" s="47" t="n">
        <v>0</v>
      </c>
      <c r="I29" s="47" t="inlineStr"/>
      <c r="J29" s="47" t="n">
        <v>3</v>
      </c>
      <c r="K29" s="47" t="inlineStr"/>
      <c r="L29" s="47" t="n">
        <v>0</v>
      </c>
      <c r="M29" s="47" t="inlineStr"/>
      <c r="N29" s="47" t="inlineStr">
        <is>
          <t>W1:17HR,W2:22HR,W4:5.5HR,W5:9.5HR</t>
        </is>
      </c>
      <c r="O29" s="47" t="inlineStr"/>
      <c r="P29" s="47" t="inlineStr">
        <is>
          <t>-</t>
        </is>
      </c>
      <c r="Q29" s="47" t="inlineStr"/>
    </row>
    <row r="30">
      <c r="A30" s="47" t="n">
        <v>8813001247</v>
      </c>
      <c r="B30" s="47" t="inlineStr">
        <is>
          <t>SW-320</t>
        </is>
      </c>
      <c r="C30" s="47" t="n">
        <v>0</v>
      </c>
      <c r="D30" s="47" t="n">
        <v>0</v>
      </c>
      <c r="E30" s="47" t="n">
        <v>0</v>
      </c>
      <c r="F30" s="47" t="n">
        <v>0</v>
      </c>
      <c r="G30" s="47" t="n">
        <v>3</v>
      </c>
      <c r="H30" s="47" t="n">
        <v>3</v>
      </c>
      <c r="I30" s="47" t="n">
        <v>3</v>
      </c>
      <c r="J30" s="47" t="inlineStr"/>
      <c r="K30" s="47" t="inlineStr"/>
      <c r="L30" s="47" t="n">
        <v>0</v>
      </c>
      <c r="M30" s="47" t="inlineStr"/>
      <c r="N30" s="47" t="inlineStr"/>
      <c r="O30" s="47" t="inlineStr"/>
      <c r="P30" s="47" t="n">
        <v>2</v>
      </c>
      <c r="Q30" s="47" t="inlineStr"/>
    </row>
    <row r="31">
      <c r="A31" s="47" t="n">
        <v>8813001244</v>
      </c>
      <c r="B31" s="47" t="inlineStr">
        <is>
          <t>SW-323</t>
        </is>
      </c>
      <c r="C31" s="47" t="n">
        <v>0</v>
      </c>
      <c r="D31" s="47" t="n">
        <v>0</v>
      </c>
      <c r="E31" s="47" t="n">
        <v>0</v>
      </c>
      <c r="F31" s="47" t="n">
        <v>0</v>
      </c>
      <c r="G31" s="47" t="n">
        <v>1</v>
      </c>
      <c r="H31" s="47" t="n">
        <v>1</v>
      </c>
      <c r="I31" s="47" t="n">
        <v>1</v>
      </c>
      <c r="J31" s="47" t="inlineStr"/>
      <c r="K31" s="47" t="inlineStr"/>
      <c r="L31" s="47" t="inlineStr"/>
      <c r="M31" s="47" t="inlineStr"/>
      <c r="N31" s="47" t="inlineStr">
        <is>
          <t>H08000573*1做完知會蔡高專。</t>
        </is>
      </c>
      <c r="O31" s="47" t="inlineStr"/>
      <c r="P31" s="47" t="inlineStr"/>
      <c r="Q31" s="47" t="inlineStr"/>
    </row>
    <row r="32">
      <c r="A32" s="47" t="n">
        <v>8813001256</v>
      </c>
      <c r="B32" s="47" t="inlineStr">
        <is>
          <t>SW-326</t>
        </is>
      </c>
      <c r="C32" s="47" t="n">
        <v>0</v>
      </c>
      <c r="D32" s="47" t="n">
        <v>0</v>
      </c>
      <c r="E32" s="47" t="n">
        <v>0</v>
      </c>
      <c r="F32" s="47" t="inlineStr"/>
      <c r="G32" s="47" t="n">
        <v>0</v>
      </c>
      <c r="H32" s="47" t="n">
        <v>0</v>
      </c>
      <c r="I32" s="47" t="inlineStr"/>
      <c r="J32" s="47" t="inlineStr"/>
      <c r="K32" s="47" t="inlineStr"/>
      <c r="L32" s="47" t="inlineStr"/>
      <c r="M32" s="47" t="inlineStr"/>
      <c r="N32" s="47" t="inlineStr"/>
      <c r="O32" s="47" t="inlineStr"/>
      <c r="P32" s="47" t="inlineStr"/>
      <c r="Q32" s="47" t="inlineStr"/>
    </row>
    <row r="33">
      <c r="A33" s="47" t="n">
        <v>8813001255</v>
      </c>
      <c r="B33" s="47" t="inlineStr">
        <is>
          <t>SW-416</t>
        </is>
      </c>
      <c r="C33" s="47" t="n">
        <v>0</v>
      </c>
      <c r="D33" s="47" t="n">
        <v>0</v>
      </c>
      <c r="E33" s="47" t="n">
        <v>0</v>
      </c>
      <c r="F33" s="47" t="n">
        <v>0</v>
      </c>
      <c r="G33" s="47" t="n">
        <v>2</v>
      </c>
      <c r="H33" s="47" t="n">
        <v>2</v>
      </c>
      <c r="I33" s="47" t="n">
        <v>2</v>
      </c>
      <c r="J33" s="47" t="inlineStr"/>
      <c r="K33" s="47" t="inlineStr"/>
      <c r="L33" s="47" t="inlineStr"/>
      <c r="M33" s="47" t="inlineStr"/>
      <c r="N33" s="47" t="inlineStr"/>
      <c r="O33" s="47" t="inlineStr"/>
      <c r="P33" s="47" t="inlineStr"/>
      <c r="Q33" s="47" t="inlineStr"/>
    </row>
    <row r="34">
      <c r="A34" s="47" t="n">
        <v>8813001248</v>
      </c>
      <c r="B34" s="47" t="inlineStr">
        <is>
          <t>SW-420</t>
        </is>
      </c>
      <c r="C34" s="47" t="n">
        <v>0</v>
      </c>
      <c r="D34" s="47" t="n">
        <v>0</v>
      </c>
      <c r="E34" s="47" t="n">
        <v>0</v>
      </c>
      <c r="F34" s="47" t="inlineStr"/>
      <c r="G34" s="47" t="n">
        <v>0</v>
      </c>
      <c r="H34" s="47" t="n">
        <v>0</v>
      </c>
      <c r="I34" s="47" t="inlineStr"/>
      <c r="J34" s="47" t="inlineStr"/>
      <c r="K34" s="47" t="inlineStr"/>
      <c r="L34" s="47" t="inlineStr"/>
      <c r="M34" s="47" t="inlineStr"/>
      <c r="N34" s="47" t="inlineStr"/>
      <c r="O34" s="47" t="inlineStr"/>
      <c r="P34" s="47" t="inlineStr"/>
      <c r="Q34" s="47" t="inlineStr"/>
    </row>
    <row r="35">
      <c r="A35" s="47" t="n">
        <v>8813001261</v>
      </c>
      <c r="B35" s="47" t="inlineStr">
        <is>
          <t>SW-423</t>
        </is>
      </c>
      <c r="C35" s="47" t="n">
        <v>0</v>
      </c>
      <c r="D35" s="47" t="n">
        <v>0</v>
      </c>
      <c r="E35" s="47" t="n">
        <v>0</v>
      </c>
      <c r="F35" s="47" t="n">
        <v>0</v>
      </c>
      <c r="G35" s="47" t="n">
        <v>1</v>
      </c>
      <c r="H35" s="47" t="n">
        <v>1</v>
      </c>
      <c r="I35" s="47" t="n">
        <v>1</v>
      </c>
      <c r="J35" s="47" t="n">
        <v>1</v>
      </c>
      <c r="K35" s="47" t="inlineStr"/>
      <c r="L35" s="47" t="inlineStr"/>
      <c r="M35" s="47" t="inlineStr"/>
      <c r="N35" s="47" t="inlineStr">
        <is>
          <t>W1:21HR,W2:43HR,W4:5.5HR,W5:10HR</t>
        </is>
      </c>
      <c r="O35" s="47" t="inlineStr"/>
      <c r="P35" s="47" t="n">
        <v>1</v>
      </c>
      <c r="Q35" s="47" t="inlineStr"/>
    </row>
    <row r="36">
      <c r="A36" s="47" t="n">
        <v>8813001353</v>
      </c>
      <c r="B36" s="47" t="inlineStr">
        <is>
          <t>SW-426</t>
        </is>
      </c>
      <c r="C36" s="47" t="n">
        <v>0</v>
      </c>
      <c r="D36" s="47" t="n">
        <v>0</v>
      </c>
      <c r="E36" s="47" t="n">
        <v>0</v>
      </c>
      <c r="F36" s="47" t="inlineStr"/>
      <c r="G36" s="47" t="n">
        <v>0</v>
      </c>
      <c r="H36" s="47" t="n">
        <v>0</v>
      </c>
      <c r="I36" s="47" t="inlineStr"/>
      <c r="J36" s="47" t="inlineStr"/>
      <c r="K36" s="47" t="inlineStr"/>
      <c r="L36" s="47" t="inlineStr"/>
      <c r="M36" s="47" t="inlineStr"/>
      <c r="N36" s="47" t="inlineStr"/>
      <c r="O36" s="47" t="inlineStr"/>
      <c r="P36" s="47" t="inlineStr"/>
      <c r="Q36" s="47" t="inlineStr"/>
    </row>
    <row r="37">
      <c r="A37" s="47" t="inlineStr"/>
      <c r="B37" s="47" t="inlineStr">
        <is>
          <t>SW-4350</t>
        </is>
      </c>
      <c r="C37" s="47" t="n">
        <v>0</v>
      </c>
      <c r="D37" s="47" t="n">
        <v>0</v>
      </c>
      <c r="E37" s="47" t="n">
        <v>0</v>
      </c>
      <c r="F37" s="47" t="n">
        <v>1</v>
      </c>
      <c r="G37" s="47" t="n">
        <v>0</v>
      </c>
      <c r="H37" s="47" t="n">
        <v>0</v>
      </c>
      <c r="I37" s="47" t="n">
        <v>1</v>
      </c>
      <c r="J37" s="47" t="inlineStr"/>
      <c r="K37" s="47" t="inlineStr"/>
      <c r="L37" s="47" t="inlineStr"/>
      <c r="M37" s="47" t="inlineStr"/>
      <c r="N37" s="47" t="inlineStr"/>
      <c r="O37" s="47" t="inlineStr"/>
      <c r="P37" s="47" t="inlineStr"/>
      <c r="Q37" s="47" t="inlineStr"/>
    </row>
    <row r="38">
      <c r="A38" s="47" t="n">
        <v>8813001262</v>
      </c>
      <c r="B38" s="47" t="inlineStr">
        <is>
          <t>SW-523</t>
        </is>
      </c>
      <c r="C38" s="47" t="n">
        <v>0</v>
      </c>
      <c r="D38" s="47" t="n">
        <v>0</v>
      </c>
      <c r="E38" s="47" t="n">
        <v>0</v>
      </c>
      <c r="F38" s="47" t="inlineStr"/>
      <c r="G38" s="47" t="n">
        <v>0</v>
      </c>
      <c r="H38" s="47" t="n">
        <v>0</v>
      </c>
      <c r="I38" s="47" t="inlineStr"/>
      <c r="J38" s="47" t="inlineStr"/>
      <c r="K38" s="47" t="inlineStr"/>
      <c r="L38" s="47" t="inlineStr"/>
      <c r="M38" s="47" t="inlineStr"/>
      <c r="N38" s="47" t="inlineStr"/>
      <c r="O38" s="47" t="inlineStr"/>
      <c r="P38" s="47" t="inlineStr"/>
      <c r="Q38" s="47" t="inlineStr"/>
    </row>
    <row r="39">
      <c r="A39" s="47" t="n">
        <v>8813001115</v>
      </c>
      <c r="B39" s="47" t="inlineStr">
        <is>
          <t>SW-623</t>
        </is>
      </c>
      <c r="C39" s="47" t="n">
        <v>0</v>
      </c>
      <c r="D39" s="47" t="n">
        <v>1</v>
      </c>
      <c r="E39" s="47" t="n">
        <v>0</v>
      </c>
      <c r="F39" s="47" t="n">
        <v>0</v>
      </c>
      <c r="G39" s="47" t="n">
        <v>0</v>
      </c>
      <c r="H39" s="47" t="n">
        <v>0</v>
      </c>
      <c r="I39" s="47" t="inlineStr"/>
      <c r="J39" s="47" t="n">
        <v>1</v>
      </c>
      <c r="K39" s="47" t="inlineStr"/>
      <c r="L39" s="47" t="n">
        <v>0</v>
      </c>
      <c r="M39" s="47" t="inlineStr"/>
      <c r="N39" s="47" t="inlineStr">
        <is>
          <t>W1:25HR,W2:60HR,W4:7.5HR,W5:12HR</t>
        </is>
      </c>
      <c r="O39" s="47" t="inlineStr"/>
      <c r="P39" s="47" t="inlineStr"/>
      <c r="Q39" s="47" t="inlineStr"/>
    </row>
    <row r="40">
      <c r="A40" s="47" t="n">
        <v>8813001078</v>
      </c>
      <c r="B40" s="47" t="inlineStr">
        <is>
          <t>SW-526</t>
        </is>
      </c>
      <c r="C40" s="47" t="n">
        <v>0</v>
      </c>
      <c r="D40" s="47" t="n">
        <v>0</v>
      </c>
      <c r="E40" s="47" t="n">
        <v>0</v>
      </c>
      <c r="F40" s="47" t="inlineStr"/>
      <c r="G40" s="47" t="n">
        <v>0</v>
      </c>
      <c r="H40" s="47" t="n">
        <v>0</v>
      </c>
      <c r="I40" s="47" t="inlineStr"/>
      <c r="J40" s="47" t="inlineStr"/>
      <c r="K40" s="47" t="inlineStr"/>
      <c r="L40" s="47" t="inlineStr"/>
      <c r="M40" s="47" t="inlineStr"/>
      <c r="N40" s="47" t="inlineStr">
        <is>
          <t>1台傑浩</t>
        </is>
      </c>
      <c r="O40" s="47" t="inlineStr"/>
      <c r="P40" s="47" t="inlineStr"/>
      <c r="Q40" s="47" t="inlineStr"/>
    </row>
    <row r="41">
      <c r="A41" s="47" t="inlineStr"/>
      <c r="B41" s="47" t="inlineStr">
        <is>
          <t>VW-4340</t>
        </is>
      </c>
      <c r="C41" s="47" t="n">
        <v>0</v>
      </c>
      <c r="D41" s="47" t="n">
        <v>0</v>
      </c>
      <c r="E41" s="47" t="n">
        <v>0</v>
      </c>
      <c r="F41" s="47" t="n">
        <v>0</v>
      </c>
      <c r="G41" s="47" t="n">
        <v>1</v>
      </c>
      <c r="H41" s="47" t="n">
        <v>1</v>
      </c>
      <c r="I41" s="47" t="n">
        <v>1</v>
      </c>
      <c r="J41" s="47" t="n">
        <v>1</v>
      </c>
      <c r="K41" s="47" t="inlineStr"/>
      <c r="L41" s="47" t="inlineStr"/>
      <c r="M41" s="47" t="inlineStr"/>
      <c r="N41" s="47" t="inlineStr"/>
      <c r="O41" s="47" t="inlineStr"/>
      <c r="P41" s="47" t="inlineStr"/>
      <c r="Q41" s="47" t="inlineStr"/>
    </row>
    <row r="42">
      <c r="A42" s="47" t="inlineStr"/>
      <c r="B42" s="47" t="inlineStr">
        <is>
          <t>VW-7340</t>
        </is>
      </c>
      <c r="C42" s="47" t="n">
        <v>0</v>
      </c>
      <c r="D42" s="47" t="n">
        <v>0</v>
      </c>
      <c r="E42" s="47" t="n">
        <v>0</v>
      </c>
      <c r="F42" s="47" t="n">
        <v>0</v>
      </c>
      <c r="G42" s="47" t="n">
        <v>0</v>
      </c>
      <c r="H42" s="47" t="n">
        <v>1</v>
      </c>
      <c r="I42" s="47" t="inlineStr"/>
      <c r="J42" s="47" t="n">
        <v>1</v>
      </c>
      <c r="K42" s="47" t="inlineStr"/>
      <c r="L42" s="47" t="inlineStr"/>
      <c r="M42" s="47" t="inlineStr"/>
      <c r="N42" s="47" t="inlineStr"/>
      <c r="O42" s="47" t="inlineStr"/>
      <c r="P42" s="47" t="inlineStr"/>
      <c r="Q42" s="47" t="inlineStr"/>
    </row>
    <row r="43">
      <c r="A43" s="47" t="n">
        <v>8813001124</v>
      </c>
      <c r="B43" s="47" t="inlineStr">
        <is>
          <t>HSA-2212</t>
        </is>
      </c>
      <c r="C43" s="47" t="n">
        <v>1</v>
      </c>
      <c r="D43" s="47" t="n">
        <v>1</v>
      </c>
      <c r="E43" s="47" t="n">
        <v>0</v>
      </c>
      <c r="F43" s="47" t="n">
        <v>0</v>
      </c>
      <c r="G43" s="47" t="n">
        <v>0</v>
      </c>
      <c r="H43" s="47" t="n">
        <v>0</v>
      </c>
      <c r="I43" s="47" t="n">
        <v>2</v>
      </c>
      <c r="J43" s="47" t="n">
        <v>1</v>
      </c>
      <c r="K43" s="47" t="inlineStr"/>
      <c r="L43" s="47" t="inlineStr"/>
      <c r="M43" s="47" t="inlineStr"/>
      <c r="N43" s="47" t="inlineStr">
        <is>
          <t>HA21040801---已出交換---入帳-(11/12出貨)</t>
        </is>
      </c>
      <c r="O43" s="47" t="inlineStr"/>
      <c r="P43" s="47" t="inlineStr"/>
      <c r="Q43" s="47" t="inlineStr"/>
    </row>
    <row r="44">
      <c r="A44" s="47" t="n">
        <v>8813001125</v>
      </c>
      <c r="B44" s="47" t="inlineStr">
        <is>
          <t>HSA-3212</t>
        </is>
      </c>
      <c r="C44" s="47" t="n">
        <v>0</v>
      </c>
      <c r="D44" s="47" t="n">
        <v>0</v>
      </c>
      <c r="E44" s="47" t="n">
        <v>0</v>
      </c>
      <c r="F44" s="47" t="n">
        <v>0</v>
      </c>
      <c r="G44" s="47" t="n">
        <v>0</v>
      </c>
      <c r="H44" s="47" t="n">
        <v>1</v>
      </c>
      <c r="I44" s="47" t="inlineStr"/>
      <c r="J44" s="47" t="n">
        <v>1</v>
      </c>
      <c r="K44" s="47" t="inlineStr"/>
      <c r="L44" s="47" t="inlineStr"/>
      <c r="M44" s="47" t="inlineStr"/>
      <c r="N44" s="47" t="inlineStr"/>
      <c r="O44" s="47" t="inlineStr"/>
      <c r="P44" s="47" t="inlineStr"/>
      <c r="Q44" s="4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品號</t>
        </is>
      </c>
      <c r="B1" s="75" t="inlineStr">
        <is>
          <t>機型</t>
        </is>
      </c>
      <c r="C1" s="75" t="inlineStr">
        <is>
          <t>素材</t>
        </is>
      </c>
      <c r="D1" s="75" t="inlineStr">
        <is>
          <t>製程7</t>
        </is>
      </c>
      <c r="E1" s="75" t="inlineStr">
        <is>
          <t>製程6</t>
        </is>
      </c>
      <c r="F1" s="75" t="inlineStr">
        <is>
          <t>製程5(成品)</t>
        </is>
      </c>
      <c r="G1" s="75" t="inlineStr">
        <is>
          <t>研磨成品</t>
        </is>
      </c>
      <c r="H1" s="75" t="inlineStr">
        <is>
          <t>報廢品</t>
        </is>
      </c>
      <c r="I1" s="75" t="inlineStr">
        <is>
          <t>總數</t>
        </is>
      </c>
      <c r="J1" s="75" t="inlineStr">
        <is>
          <t>預扣件</t>
        </is>
      </c>
      <c r="K1" s="75" t="inlineStr">
        <is>
          <t>報廢品.1</t>
        </is>
      </c>
      <c r="L1" s="75" t="inlineStr">
        <is>
          <t>Unnamed: 11</t>
        </is>
      </c>
      <c r="M1" s="75" t="inlineStr">
        <is>
          <t>研-09-09</t>
        </is>
      </c>
      <c r="N1" s="75" t="inlineStr">
        <is>
          <t>Unnamed: 13</t>
        </is>
      </c>
      <c r="O1" s="75" t="inlineStr">
        <is>
          <t>Unnamed: 14</t>
        </is>
      </c>
      <c r="P1" s="75" t="inlineStr">
        <is>
          <t>已開單</t>
        </is>
      </c>
    </row>
    <row r="2">
      <c r="A2" s="47" t="n">
        <v>8817000571</v>
      </c>
      <c r="B2" s="47" t="inlineStr">
        <is>
          <t>AHC-X31</t>
        </is>
      </c>
      <c r="C2" s="47" t="n">
        <v>0</v>
      </c>
      <c r="D2" s="47" t="inlineStr"/>
      <c r="E2" s="47" t="n">
        <v>0</v>
      </c>
      <c r="F2" s="47" t="n">
        <v>0</v>
      </c>
      <c r="G2" s="47" t="n">
        <v>0</v>
      </c>
      <c r="H2" s="47" t="inlineStr"/>
      <c r="I2" s="47" t="inlineStr"/>
      <c r="J2" s="47" t="inlineStr"/>
      <c r="K2" s="47" t="inlineStr"/>
      <c r="L2" s="47" t="inlineStr">
        <is>
          <t>5270L</t>
        </is>
      </c>
      <c r="M2" s="47" t="inlineStr"/>
      <c r="N2" s="47" t="inlineStr">
        <is>
          <t>AHC-X31</t>
        </is>
      </c>
      <c r="O2" s="47" t="inlineStr"/>
      <c r="P2" s="47" t="inlineStr"/>
    </row>
    <row r="3">
      <c r="A3" s="47" t="n">
        <v>8817000566</v>
      </c>
      <c r="B3" s="47" t="inlineStr">
        <is>
          <t>AHC-X36</t>
        </is>
      </c>
      <c r="C3" s="47" t="n">
        <v>0</v>
      </c>
      <c r="D3" s="47" t="inlineStr"/>
      <c r="E3" s="47" t="n">
        <v>3</v>
      </c>
      <c r="F3" s="47" t="n">
        <v>0</v>
      </c>
      <c r="G3" s="47" t="n">
        <v>1</v>
      </c>
      <c r="H3" s="47" t="inlineStr"/>
      <c r="I3" s="47" t="n">
        <v>4</v>
      </c>
      <c r="J3" s="47" t="inlineStr"/>
      <c r="K3" s="47" t="inlineStr"/>
      <c r="L3" s="47" t="inlineStr">
        <is>
          <t>5770L</t>
        </is>
      </c>
      <c r="M3" s="47" t="n">
        <v>1</v>
      </c>
      <c r="N3" s="47" t="inlineStr">
        <is>
          <t>AHC-X36</t>
        </is>
      </c>
      <c r="O3" s="47" t="inlineStr"/>
      <c r="P3" s="47" t="inlineStr"/>
    </row>
    <row r="4">
      <c r="A4" s="47" t="n">
        <v>8817000581</v>
      </c>
      <c r="B4" s="47" t="inlineStr">
        <is>
          <t>AHC-X46</t>
        </is>
      </c>
      <c r="C4" s="47" t="n">
        <v>0</v>
      </c>
      <c r="D4" s="47" t="inlineStr"/>
      <c r="E4" s="47" t="n">
        <v>0</v>
      </c>
      <c r="F4" s="47" t="n">
        <v>1</v>
      </c>
      <c r="G4" s="47" t="n">
        <v>0</v>
      </c>
      <c r="H4" s="47" t="inlineStr"/>
      <c r="I4" s="47" t="n">
        <v>1</v>
      </c>
      <c r="J4" s="47" t="inlineStr"/>
      <c r="K4" s="47" t="inlineStr"/>
      <c r="L4" s="47" t="inlineStr">
        <is>
          <t>6770L</t>
        </is>
      </c>
      <c r="M4" s="47" t="inlineStr"/>
      <c r="N4" s="47" t="inlineStr">
        <is>
          <t>AHC-X46</t>
        </is>
      </c>
      <c r="O4" s="47" t="inlineStr"/>
      <c r="P4" s="47" t="inlineStr"/>
    </row>
    <row r="5">
      <c r="A5" s="47" t="inlineStr"/>
      <c r="B5" s="47" t="inlineStr">
        <is>
          <t>AMZX350(5350)</t>
        </is>
      </c>
      <c r="C5" s="47" t="n">
        <v>1</v>
      </c>
      <c r="D5" s="47" t="inlineStr"/>
      <c r="E5" s="47" t="inlineStr"/>
      <c r="F5" s="47" t="inlineStr"/>
      <c r="G5" s="47" t="inlineStr"/>
      <c r="H5" s="47" t="inlineStr"/>
      <c r="I5" s="47" t="inlineStr"/>
      <c r="J5" s="47" t="inlineStr"/>
      <c r="K5" s="47" t="inlineStr"/>
      <c r="L5" s="47" t="inlineStr"/>
      <c r="M5" s="47" t="inlineStr"/>
      <c r="N5" s="47" t="inlineStr"/>
      <c r="O5" s="47" t="inlineStr"/>
      <c r="P5" s="47" t="inlineStr"/>
    </row>
    <row r="6">
      <c r="A6" s="47" t="inlineStr"/>
      <c r="B6" s="47" t="inlineStr">
        <is>
          <t>VF4320(HSA4320)</t>
        </is>
      </c>
      <c r="C6" s="47" t="n">
        <v>0</v>
      </c>
      <c r="D6" s="47" t="inlineStr"/>
      <c r="E6" s="47" t="inlineStr"/>
      <c r="F6" s="47" t="inlineStr"/>
      <c r="G6" s="47" t="n">
        <v>1</v>
      </c>
      <c r="H6" s="47" t="inlineStr"/>
      <c r="I6" s="47" t="inlineStr"/>
      <c r="J6" s="47" t="inlineStr"/>
      <c r="K6" s="47" t="inlineStr"/>
      <c r="L6" s="47" t="inlineStr"/>
      <c r="M6" s="47" t="inlineStr"/>
      <c r="N6" s="47" t="inlineStr"/>
      <c r="O6" s="47" t="inlineStr"/>
      <c r="P6" s="47" t="inlineStr"/>
    </row>
    <row r="7">
      <c r="A7" s="47" t="n">
        <v>8817000399</v>
      </c>
      <c r="B7" s="47" t="inlineStr">
        <is>
          <t>HEP2150</t>
        </is>
      </c>
      <c r="C7" s="47" t="n">
        <v>0</v>
      </c>
      <c r="D7" s="47" t="inlineStr"/>
      <c r="E7" s="47" t="n">
        <v>0</v>
      </c>
      <c r="F7" s="47" t="n">
        <v>0</v>
      </c>
      <c r="G7" s="47" t="n">
        <v>0</v>
      </c>
      <c r="H7" s="47" t="inlineStr"/>
      <c r="I7" s="47" t="inlineStr"/>
      <c r="J7" s="47" t="inlineStr"/>
      <c r="K7" s="47" t="inlineStr"/>
      <c r="L7" s="47" t="inlineStr"/>
      <c r="M7" s="47" t="inlineStr"/>
      <c r="N7" s="47" t="inlineStr"/>
      <c r="O7" s="47" t="inlineStr"/>
      <c r="P7" s="47" t="inlineStr"/>
    </row>
    <row r="8">
      <c r="A8" s="47" t="n">
        <v>8817000551</v>
      </c>
      <c r="B8" s="47" t="inlineStr">
        <is>
          <t>HSA-X20</t>
        </is>
      </c>
      <c r="C8" s="47" t="n">
        <v>0</v>
      </c>
      <c r="D8" s="47" t="inlineStr"/>
      <c r="E8" s="47" t="n">
        <v>0</v>
      </c>
      <c r="F8" s="47" t="n">
        <v>0</v>
      </c>
      <c r="G8" s="47" t="n">
        <v>0</v>
      </c>
      <c r="H8" s="47" t="inlineStr"/>
      <c r="I8" s="47" t="n">
        <v>1</v>
      </c>
      <c r="J8" s="47" t="inlineStr"/>
      <c r="K8" s="47" t="inlineStr"/>
      <c r="L8" s="47" t="inlineStr">
        <is>
          <t>3810L</t>
        </is>
      </c>
      <c r="M8" s="47" t="n">
        <v>1</v>
      </c>
      <c r="N8" s="47" t="inlineStr">
        <is>
          <t>HSA-X20</t>
        </is>
      </c>
      <c r="O8" s="47" t="inlineStr">
        <is>
          <t>12/10 庫存已扣</t>
        </is>
      </c>
      <c r="P8" s="47" t="n">
        <v>2</v>
      </c>
    </row>
    <row r="9">
      <c r="A9" s="47" t="n">
        <v>8817000552</v>
      </c>
      <c r="B9" s="47" t="inlineStr">
        <is>
          <t>HSA-X20EAY</t>
        </is>
      </c>
      <c r="C9" s="47" t="n">
        <v>0</v>
      </c>
      <c r="D9" s="47" t="inlineStr"/>
      <c r="E9" s="47" t="n">
        <v>0</v>
      </c>
      <c r="F9" s="47" t="n">
        <v>0</v>
      </c>
      <c r="G9" s="47" t="n">
        <v>0</v>
      </c>
      <c r="H9" s="47" t="inlineStr"/>
      <c r="I9" s="47" t="inlineStr"/>
      <c r="J9" s="47" t="inlineStr"/>
      <c r="K9" s="47" t="inlineStr"/>
      <c r="L9" s="47" t="inlineStr">
        <is>
          <t>4150L</t>
        </is>
      </c>
      <c r="M9" s="47" t="inlineStr"/>
      <c r="N9" s="47" t="inlineStr">
        <is>
          <t>HSA-X20EAY</t>
        </is>
      </c>
      <c r="O9" s="47" t="inlineStr"/>
      <c r="P9" s="47" t="n">
        <v>2</v>
      </c>
    </row>
    <row r="10">
      <c r="A10" s="47" t="n">
        <v>8817000491</v>
      </c>
      <c r="B10" s="47" t="inlineStr">
        <is>
          <t>HSA-X23</t>
        </is>
      </c>
      <c r="C10" s="47" t="n">
        <v>2</v>
      </c>
      <c r="D10" s="47" t="inlineStr"/>
      <c r="E10" s="47" t="n">
        <v>0</v>
      </c>
      <c r="F10" s="47" t="n">
        <v>0</v>
      </c>
      <c r="G10" s="47" t="n">
        <v>3</v>
      </c>
      <c r="H10" s="47" t="inlineStr"/>
      <c r="I10" s="47" t="n">
        <v>6</v>
      </c>
      <c r="J10" s="47" t="inlineStr"/>
      <c r="K10" s="47" t="inlineStr"/>
      <c r="L10" s="47" t="inlineStr">
        <is>
          <t>3960L</t>
        </is>
      </c>
      <c r="M10" s="47" t="n">
        <v>3</v>
      </c>
      <c r="N10" s="47" t="inlineStr">
        <is>
          <t>HSA-X23</t>
        </is>
      </c>
      <c r="O10" s="47" t="inlineStr">
        <is>
          <t>M6:16HR，M5:22HR</t>
        </is>
      </c>
      <c r="P10" s="47" t="inlineStr"/>
    </row>
    <row r="11">
      <c r="A11" s="47" t="n">
        <v>8817000517</v>
      </c>
      <c r="B11" s="47" t="inlineStr">
        <is>
          <t>HSA-X23EAY</t>
        </is>
      </c>
      <c r="C11" s="47" t="n">
        <v>1</v>
      </c>
      <c r="D11" s="47" t="inlineStr"/>
      <c r="E11" s="47" t="n">
        <v>0</v>
      </c>
      <c r="F11" s="47" t="n">
        <v>0</v>
      </c>
      <c r="G11" s="47" t="n">
        <v>0</v>
      </c>
      <c r="H11" s="47" t="n">
        <v>0</v>
      </c>
      <c r="I11" s="47" t="n">
        <v>2</v>
      </c>
      <c r="J11" s="47" t="inlineStr"/>
      <c r="K11" s="47" t="inlineStr"/>
      <c r="L11" s="47" t="inlineStr">
        <is>
          <t>4650L</t>
        </is>
      </c>
      <c r="M11" s="47" t="n">
        <v>3</v>
      </c>
      <c r="N11" s="47" t="inlineStr">
        <is>
          <t>HSA-X23EAY</t>
        </is>
      </c>
      <c r="O11" s="47" t="inlineStr">
        <is>
          <t>M6:18HR，M5:37HR</t>
        </is>
      </c>
      <c r="P11" s="47" t="inlineStr"/>
    </row>
    <row r="12">
      <c r="A12" s="47" t="n">
        <v>8817000483</v>
      </c>
      <c r="B12" s="47" t="inlineStr">
        <is>
          <t>HSA-X27</t>
        </is>
      </c>
      <c r="C12" s="47" t="n">
        <v>0</v>
      </c>
      <c r="D12" s="47" t="inlineStr"/>
      <c r="E12" s="47" t="n">
        <v>0</v>
      </c>
      <c r="F12" s="47" t="n">
        <v>0</v>
      </c>
      <c r="G12" s="47" t="n">
        <v>5</v>
      </c>
      <c r="H12" s="47" t="inlineStr"/>
      <c r="I12" s="47" t="inlineStr"/>
      <c r="J12" s="47" t="n">
        <v>0</v>
      </c>
      <c r="K12" s="47" t="n">
        <v>0</v>
      </c>
      <c r="L12" s="47" t="inlineStr">
        <is>
          <t>台典成品*1,4600L</t>
        </is>
      </c>
      <c r="M12" s="47" t="n">
        <v>6</v>
      </c>
      <c r="N12" s="47" t="inlineStr">
        <is>
          <t>HSA-X27</t>
        </is>
      </c>
      <c r="O12" s="47" t="inlineStr"/>
      <c r="P12" s="47" t="inlineStr"/>
    </row>
    <row r="13">
      <c r="A13" s="47" t="n">
        <v>8817000518</v>
      </c>
      <c r="B13" s="47" t="inlineStr">
        <is>
          <t>HSA-X27EAY</t>
        </is>
      </c>
      <c r="C13" s="47" t="n">
        <v>2</v>
      </c>
      <c r="D13" s="47" t="inlineStr"/>
      <c r="E13" s="47" t="n">
        <v>0</v>
      </c>
      <c r="F13" s="47" t="n">
        <v>0</v>
      </c>
      <c r="G13" s="47" t="n">
        <v>0</v>
      </c>
      <c r="H13" s="47" t="inlineStr"/>
      <c r="I13" s="47" t="n">
        <v>3</v>
      </c>
      <c r="J13" s="47" t="inlineStr"/>
      <c r="K13" s="47" t="n">
        <v>0</v>
      </c>
      <c r="L13" s="47" t="inlineStr">
        <is>
          <t>5150-5130</t>
        </is>
      </c>
      <c r="M13" s="47" t="n">
        <v>2</v>
      </c>
      <c r="N13" s="47" t="inlineStr">
        <is>
          <t>HSA-X27EAY</t>
        </is>
      </c>
      <c r="O13" s="47" t="inlineStr">
        <is>
          <t>M6-1*3 OK</t>
        </is>
      </c>
      <c r="P13" s="47" t="inlineStr"/>
    </row>
    <row r="14">
      <c r="A14" s="47" t="n">
        <v>8817000547</v>
      </c>
      <c r="B14" s="47" t="inlineStr">
        <is>
          <t>HSA-X32</t>
        </is>
      </c>
      <c r="C14" s="47" t="n">
        <v>0</v>
      </c>
      <c r="D14" s="47" t="inlineStr"/>
      <c r="E14" s="47" t="n">
        <v>0</v>
      </c>
      <c r="F14" s="47" t="n">
        <v>0</v>
      </c>
      <c r="G14" s="47" t="n">
        <v>2</v>
      </c>
      <c r="H14" s="47" t="inlineStr"/>
      <c r="I14" s="47" t="inlineStr"/>
      <c r="J14" s="47" t="inlineStr"/>
      <c r="K14" s="47" t="inlineStr"/>
      <c r="L14" s="47" t="inlineStr">
        <is>
          <t>5050L</t>
        </is>
      </c>
      <c r="M14" s="47" t="n">
        <v>2</v>
      </c>
      <c r="N14" s="47" t="inlineStr">
        <is>
          <t>HSA-X32</t>
        </is>
      </c>
      <c r="O14" s="47" t="inlineStr"/>
      <c r="P14" s="47" t="inlineStr"/>
    </row>
    <row r="15">
      <c r="A15" s="47" t="n">
        <v>8817000548</v>
      </c>
      <c r="B15" s="47" t="inlineStr">
        <is>
          <t>HSA-X32EAY</t>
        </is>
      </c>
      <c r="C15" s="47" t="n">
        <v>0</v>
      </c>
      <c r="D15" s="47" t="inlineStr"/>
      <c r="E15" s="47" t="n">
        <v>0</v>
      </c>
      <c r="F15" s="47" t="n">
        <v>0</v>
      </c>
      <c r="G15" s="47" t="n">
        <v>0</v>
      </c>
      <c r="H15" s="47" t="inlineStr"/>
      <c r="I15" s="47" t="inlineStr"/>
      <c r="J15" s="47" t="inlineStr"/>
      <c r="K15" s="47" t="inlineStr"/>
      <c r="L15" s="47" t="inlineStr">
        <is>
          <t>5600L</t>
        </is>
      </c>
      <c r="M15" s="47" t="n">
        <v>1</v>
      </c>
      <c r="N15" s="47" t="inlineStr">
        <is>
          <t>HSA-X32EAY</t>
        </is>
      </c>
      <c r="O15" s="47" t="inlineStr"/>
      <c r="P15" s="47" t="inlineStr"/>
    </row>
    <row r="16">
      <c r="A16" s="47" t="n">
        <v>8817000568</v>
      </c>
      <c r="B16" s="47" t="inlineStr">
        <is>
          <t>HSA-X36EAY</t>
        </is>
      </c>
      <c r="C16" s="47" t="n">
        <v>0</v>
      </c>
      <c r="D16" s="47" t="inlineStr"/>
      <c r="E16" s="47" t="n">
        <v>0</v>
      </c>
      <c r="F16" s="47" t="n">
        <v>0</v>
      </c>
      <c r="G16" s="47" t="n">
        <v>0</v>
      </c>
      <c r="H16" s="47" t="inlineStr"/>
      <c r="I16" s="47" t="inlineStr"/>
      <c r="J16" s="47" t="inlineStr"/>
      <c r="K16" s="47" t="inlineStr"/>
      <c r="L16" s="47" t="inlineStr">
        <is>
          <t>5950L</t>
        </is>
      </c>
      <c r="M16" s="47" t="inlineStr"/>
      <c r="N16" s="47" t="inlineStr">
        <is>
          <t>HSA-X36EAY</t>
        </is>
      </c>
      <c r="O16" s="47" t="inlineStr">
        <is>
          <t>隆升借放*4-有入帳</t>
        </is>
      </c>
      <c r="P16" s="47" t="n">
        <v>1</v>
      </c>
    </row>
    <row r="17">
      <c r="A17" s="47" t="n">
        <v>8817000485</v>
      </c>
      <c r="B17" s="47" t="inlineStr">
        <is>
          <t>HSA-X36</t>
        </is>
      </c>
      <c r="C17" s="47" t="n">
        <v>0</v>
      </c>
      <c r="D17" s="47" t="inlineStr"/>
      <c r="E17" s="47" t="n">
        <v>0</v>
      </c>
      <c r="F17" s="47" t="n">
        <v>0</v>
      </c>
      <c r="G17" s="47" t="n">
        <v>5</v>
      </c>
      <c r="H17" s="47" t="inlineStr"/>
      <c r="I17" s="47" t="inlineStr"/>
      <c r="J17" s="47" t="inlineStr"/>
      <c r="K17" s="47" t="inlineStr">
        <is>
          <t>`</t>
        </is>
      </c>
      <c r="L17" s="47" t="inlineStr">
        <is>
          <t>5600L</t>
        </is>
      </c>
      <c r="M17" s="47" t="n">
        <v>5</v>
      </c>
      <c r="N17" s="47" t="inlineStr">
        <is>
          <t>HSA-X36</t>
        </is>
      </c>
      <c r="O17" s="47" t="inlineStr"/>
      <c r="P17" s="47" t="inlineStr"/>
    </row>
    <row r="18">
      <c r="A18" s="47" t="n">
        <v>8817000635</v>
      </c>
      <c r="B18" s="47" t="inlineStr">
        <is>
          <t>TGV-106</t>
        </is>
      </c>
      <c r="C18" s="47" t="n">
        <v>0</v>
      </c>
      <c r="D18" s="47" t="inlineStr"/>
      <c r="E18" s="47" t="n">
        <v>0</v>
      </c>
      <c r="F18" s="47" t="n">
        <v>0</v>
      </c>
      <c r="G18" s="47" t="n">
        <v>0</v>
      </c>
      <c r="H18" s="47" t="inlineStr"/>
      <c r="I18" s="47" t="inlineStr"/>
      <c r="J18" s="47" t="inlineStr"/>
      <c r="K18" s="47" t="inlineStr"/>
      <c r="L18" s="47" t="inlineStr"/>
      <c r="M18" s="47" t="inlineStr"/>
      <c r="N18" s="47" t="inlineStr"/>
      <c r="O18" s="47" t="inlineStr"/>
      <c r="P18" s="47" t="inlineStr"/>
    </row>
    <row r="19">
      <c r="A19" s="47" t="n">
        <v>8817000441</v>
      </c>
      <c r="B19" s="47" t="inlineStr">
        <is>
          <t>HSA-X23_NEO</t>
        </is>
      </c>
      <c r="C19" s="47" t="n">
        <v>0</v>
      </c>
      <c r="D19" s="47" t="n">
        <v>0</v>
      </c>
      <c r="E19" s="47" t="n">
        <v>0</v>
      </c>
      <c r="F19" s="47" t="n">
        <v>0</v>
      </c>
      <c r="G19" s="47" t="n">
        <v>0</v>
      </c>
      <c r="H19" s="47" t="inlineStr"/>
      <c r="I19" s="47" t="inlineStr"/>
      <c r="J19" s="47" t="inlineStr"/>
      <c r="K19" s="47" t="inlineStr"/>
      <c r="L19" s="47" t="inlineStr"/>
      <c r="M19" s="47" t="inlineStr"/>
      <c r="N19" s="47" t="inlineStr"/>
      <c r="O19" s="47" t="inlineStr"/>
      <c r="P19" s="47" t="inlineStr"/>
    </row>
    <row r="20">
      <c r="A20" s="47" t="n">
        <v>8817000650</v>
      </c>
      <c r="B20" s="47" t="inlineStr">
        <is>
          <t>HSA-X20_NEO</t>
        </is>
      </c>
      <c r="C20" s="47" t="n">
        <v>0</v>
      </c>
      <c r="D20" s="47" t="n">
        <v>0</v>
      </c>
      <c r="E20" s="47" t="n">
        <v>0</v>
      </c>
      <c r="F20" s="47" t="n">
        <v>0</v>
      </c>
      <c r="G20" s="47" t="n">
        <v>0</v>
      </c>
      <c r="H20" s="47" t="inlineStr"/>
      <c r="I20" s="47" t="inlineStr"/>
      <c r="J20" s="47" t="inlineStr"/>
      <c r="K20" s="47" t="inlineStr"/>
      <c r="L20" s="47" t="inlineStr"/>
      <c r="M20" s="47" t="inlineStr"/>
      <c r="N20" s="47" t="inlineStr"/>
      <c r="O20" s="47" t="inlineStr"/>
      <c r="P20" s="4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品號</t>
        </is>
      </c>
      <c r="B1" s="75" t="inlineStr">
        <is>
          <t>機型</t>
        </is>
      </c>
      <c r="C1" s="75" t="inlineStr">
        <is>
          <t>素材</t>
        </is>
      </c>
      <c r="D1" s="75" t="inlineStr">
        <is>
          <t>半成品</t>
        </is>
      </c>
      <c r="E1" s="75" t="inlineStr">
        <is>
          <t>成品(銑)</t>
        </is>
      </c>
      <c r="F1" s="75" t="inlineStr">
        <is>
          <t>成品(研)</t>
        </is>
      </c>
      <c r="G1" s="75" t="inlineStr">
        <is>
          <t>總數</t>
        </is>
      </c>
      <c r="H1" s="75" t="inlineStr">
        <is>
          <t>報廢</t>
        </is>
      </c>
      <c r="I1" s="75" t="inlineStr">
        <is>
          <t>Unnamed: 8</t>
        </is>
      </c>
      <c r="J1" s="75" t="inlineStr">
        <is>
          <t>Unnamed: 9</t>
        </is>
      </c>
      <c r="K1" s="75" t="inlineStr">
        <is>
          <t>Unnamed: 10</t>
        </is>
      </c>
      <c r="L1" s="75" t="inlineStr">
        <is>
          <t>Unnamed: 11</t>
        </is>
      </c>
      <c r="M1" s="75" t="inlineStr">
        <is>
          <t>Unnamed: 12</t>
        </is>
      </c>
    </row>
    <row r="2">
      <c r="A2" s="47" t="inlineStr"/>
      <c r="B2" s="47" t="inlineStr">
        <is>
          <t>5BC-4300</t>
        </is>
      </c>
      <c r="C2" s="47" t="n">
        <v>1</v>
      </c>
      <c r="D2" s="47" t="inlineStr"/>
      <c r="E2" s="47" t="n">
        <v>2</v>
      </c>
      <c r="F2" s="47" t="inlineStr"/>
      <c r="G2" s="47" t="inlineStr"/>
      <c r="H2" s="47" t="inlineStr"/>
      <c r="I2" s="47" t="inlineStr"/>
      <c r="J2" s="47" t="inlineStr"/>
      <c r="K2" s="47" t="inlineStr"/>
      <c r="L2" s="47" t="inlineStr"/>
      <c r="M2" s="47" t="inlineStr"/>
    </row>
    <row r="3">
      <c r="A3" s="47" t="inlineStr"/>
      <c r="B3" s="47" t="inlineStr">
        <is>
          <t>HEP2150-1720</t>
        </is>
      </c>
      <c r="C3" s="47" t="inlineStr"/>
      <c r="D3" s="47" t="inlineStr"/>
      <c r="E3" s="47" t="n">
        <v>2</v>
      </c>
      <c r="F3" s="47" t="inlineStr"/>
      <c r="G3" s="47" t="inlineStr"/>
      <c r="H3" s="47" t="inlineStr"/>
      <c r="I3" s="47" t="inlineStr"/>
      <c r="J3" s="47" t="inlineStr"/>
      <c r="K3" s="47" t="inlineStr"/>
      <c r="L3" s="47" t="inlineStr"/>
      <c r="M3" s="47" t="inlineStr"/>
    </row>
    <row r="4">
      <c r="A4" s="47" t="inlineStr"/>
      <c r="B4" s="47" t="inlineStr">
        <is>
          <t>HEP2150-1620</t>
        </is>
      </c>
      <c r="C4" s="47" t="n">
        <v>2</v>
      </c>
      <c r="D4" s="47" t="n">
        <v>2</v>
      </c>
      <c r="E4" s="47" t="inlineStr"/>
      <c r="F4" s="47" t="inlineStr"/>
      <c r="G4" s="47" t="inlineStr"/>
      <c r="H4" s="47" t="inlineStr"/>
      <c r="I4" s="47" t="inlineStr"/>
      <c r="J4" s="47" t="inlineStr"/>
      <c r="K4" s="47" t="inlineStr"/>
      <c r="L4" s="47" t="inlineStr"/>
      <c r="M4" s="47" t="inlineStr"/>
    </row>
    <row r="5">
      <c r="A5" s="47" t="inlineStr"/>
      <c r="B5" s="47" t="inlineStr">
        <is>
          <t>HSA4265</t>
        </is>
      </c>
      <c r="C5" s="47" t="n">
        <v>2</v>
      </c>
      <c r="D5" s="47" t="n">
        <v>0</v>
      </c>
      <c r="E5" s="47" t="n">
        <v>0</v>
      </c>
      <c r="F5" s="47" t="inlineStr"/>
      <c r="G5" s="47" t="inlineStr"/>
      <c r="H5" s="47" t="inlineStr"/>
      <c r="I5" s="47" t="inlineStr"/>
      <c r="J5" s="47" t="inlineStr"/>
      <c r="K5" s="47" t="inlineStr"/>
      <c r="L5" s="47" t="inlineStr"/>
      <c r="M5" s="47" t="inlineStr"/>
    </row>
    <row r="6">
      <c r="A6" s="47" t="n">
        <v>8811001091</v>
      </c>
      <c r="B6" s="47" t="inlineStr">
        <is>
          <t>LG-800</t>
        </is>
      </c>
      <c r="C6" s="47" t="n">
        <v>6</v>
      </c>
      <c r="D6" s="47" t="n">
        <v>3</v>
      </c>
      <c r="E6" s="47" t="n">
        <v>0</v>
      </c>
      <c r="F6" s="47" t="n">
        <v>0</v>
      </c>
      <c r="G6" s="47" t="n">
        <v>9</v>
      </c>
      <c r="H6" s="47" t="inlineStr"/>
      <c r="I6" s="47" t="inlineStr"/>
      <c r="J6" s="47" t="inlineStr"/>
      <c r="K6" s="47" t="inlineStr"/>
      <c r="L6" s="47" t="inlineStr"/>
      <c r="M6" s="47" t="inlineStr"/>
    </row>
    <row r="7">
      <c r="A7" s="47" t="n">
        <v>8811001273</v>
      </c>
      <c r="B7" s="47" t="inlineStr">
        <is>
          <t>LG-1370</t>
        </is>
      </c>
      <c r="C7" s="47" t="n">
        <v>0</v>
      </c>
      <c r="D7" s="47" t="n">
        <v>0</v>
      </c>
      <c r="E7" s="47" t="n">
        <v>0</v>
      </c>
      <c r="F7" s="47" t="n">
        <v>0</v>
      </c>
      <c r="G7" s="47" t="inlineStr"/>
      <c r="H7" s="47" t="inlineStr"/>
      <c r="I7" s="47" t="inlineStr"/>
      <c r="J7" s="47" t="inlineStr"/>
      <c r="K7" s="47" t="inlineStr"/>
      <c r="L7" s="47" t="inlineStr"/>
      <c r="M7" s="47" t="inlineStr"/>
    </row>
    <row r="8">
      <c r="A8" s="47" t="n">
        <v>8811001013</v>
      </c>
      <c r="B8" s="47" t="inlineStr">
        <is>
          <t>MVP-860</t>
        </is>
      </c>
      <c r="C8" s="47" t="inlineStr"/>
      <c r="D8" s="47" t="inlineStr"/>
      <c r="E8" s="47" t="inlineStr"/>
      <c r="F8" s="47" t="n">
        <v>0</v>
      </c>
      <c r="G8" s="47" t="inlineStr"/>
      <c r="H8" s="47" t="inlineStr"/>
      <c r="I8" s="47" t="inlineStr"/>
      <c r="J8" s="47" t="inlineStr"/>
      <c r="K8" s="47" t="inlineStr"/>
      <c r="L8" s="47" t="inlineStr"/>
      <c r="M8" s="47" t="inlineStr"/>
    </row>
    <row r="9">
      <c r="A9" s="47" t="n">
        <v>8811001077</v>
      </c>
      <c r="B9" s="47" t="inlineStr">
        <is>
          <t>MVP-860+200H</t>
        </is>
      </c>
      <c r="C9" s="47" t="n">
        <v>0</v>
      </c>
      <c r="D9" s="47" t="n">
        <v>0</v>
      </c>
      <c r="E9" s="47" t="n">
        <v>0</v>
      </c>
      <c r="F9" s="47" t="n">
        <v>0</v>
      </c>
      <c r="G9" s="47" t="n">
        <v>0</v>
      </c>
      <c r="H9" s="47" t="inlineStr"/>
      <c r="I9" s="47" t="inlineStr"/>
      <c r="J9" s="47" t="inlineStr"/>
      <c r="K9" s="47" t="inlineStr"/>
      <c r="L9" s="47" t="inlineStr"/>
      <c r="M9" s="47" t="inlineStr"/>
    </row>
    <row r="10">
      <c r="A10" s="47" t="n">
        <v>8811001393</v>
      </c>
      <c r="B10" s="47" t="inlineStr">
        <is>
          <t>MVP-11</t>
        </is>
      </c>
      <c r="C10" s="47" t="n">
        <v>0</v>
      </c>
      <c r="D10" s="47" t="n">
        <v>0</v>
      </c>
      <c r="E10" s="47" t="n">
        <v>0</v>
      </c>
      <c r="F10" s="47" t="n">
        <v>0</v>
      </c>
      <c r="G10" s="47" t="n">
        <v>0</v>
      </c>
      <c r="H10" s="47" t="inlineStr"/>
      <c r="I10" s="47" t="inlineStr"/>
      <c r="J10" s="47" t="inlineStr"/>
      <c r="K10" s="47" t="inlineStr"/>
      <c r="L10" s="47" t="inlineStr"/>
      <c r="M10" s="47" t="inlineStr"/>
    </row>
    <row r="11">
      <c r="A11" s="47" t="n">
        <v>8811001536</v>
      </c>
      <c r="B11" s="47" t="inlineStr">
        <is>
          <t>A10</t>
        </is>
      </c>
      <c r="C11" s="47" t="n">
        <v>0</v>
      </c>
      <c r="D11" s="47" t="n">
        <v>0</v>
      </c>
      <c r="E11" s="47" t="n">
        <v>0</v>
      </c>
      <c r="F11" s="47" t="n">
        <v>0</v>
      </c>
      <c r="G11" s="47" t="inlineStr"/>
      <c r="H11" s="47" t="inlineStr"/>
      <c r="I11" s="47" t="inlineStr"/>
      <c r="J11" s="47" t="inlineStr"/>
      <c r="K11" s="47" t="inlineStr"/>
      <c r="L11" s="47" t="inlineStr"/>
      <c r="M11" s="47" t="inlineStr"/>
    </row>
    <row r="12">
      <c r="A12" s="47" t="n">
        <v>8811001338</v>
      </c>
      <c r="B12" s="47" t="inlineStr">
        <is>
          <t>S-PLUS 8</t>
        </is>
      </c>
      <c r="C12" s="47" t="n">
        <v>0</v>
      </c>
      <c r="D12" s="47" t="n">
        <v>0</v>
      </c>
      <c r="E12" s="47" t="inlineStr"/>
      <c r="F12" s="47" t="n">
        <v>0</v>
      </c>
      <c r="G12" s="47" t="inlineStr"/>
      <c r="H12" s="47" t="inlineStr"/>
      <c r="I12" s="47" t="inlineStr"/>
      <c r="J12" s="47" t="inlineStr"/>
      <c r="K12" s="47" t="inlineStr"/>
      <c r="L12" s="47" t="inlineStr"/>
      <c r="M12" s="47" t="inlineStr"/>
    </row>
    <row r="13">
      <c r="A13" s="47" t="n">
        <v>8811001526</v>
      </c>
      <c r="B13" s="47" t="inlineStr">
        <is>
          <t>S8</t>
        </is>
      </c>
      <c r="C13" s="47" t="n">
        <v>1</v>
      </c>
      <c r="D13" s="47" t="n">
        <v>0</v>
      </c>
      <c r="E13" s="47" t="n">
        <v>0</v>
      </c>
      <c r="F13" s="47" t="n">
        <v>0</v>
      </c>
      <c r="G13" s="47" t="n">
        <v>1</v>
      </c>
      <c r="H13" s="47" t="inlineStr"/>
      <c r="I13" s="47" t="inlineStr"/>
      <c r="J13" s="47" t="inlineStr"/>
      <c r="K13" s="47" t="inlineStr"/>
      <c r="L13" s="47" t="inlineStr"/>
      <c r="M13" s="47" t="inlineStr"/>
    </row>
    <row r="14">
      <c r="A14" s="47" t="n">
        <v>8811001616</v>
      </c>
      <c r="B14" s="47" t="inlineStr">
        <is>
          <t>LG-1370-NEO</t>
        </is>
      </c>
      <c r="C14" s="47" t="n">
        <v>3</v>
      </c>
      <c r="D14" s="47" t="n">
        <v>0</v>
      </c>
      <c r="E14" s="47" t="n">
        <v>0</v>
      </c>
      <c r="F14" s="47" t="n">
        <v>0</v>
      </c>
      <c r="G14" s="47" t="n">
        <v>0</v>
      </c>
      <c r="H14" s="47" t="n">
        <v>0</v>
      </c>
      <c r="I14" s="47" t="inlineStr"/>
      <c r="J14" s="47" t="inlineStr"/>
      <c r="K14" s="47" t="inlineStr">
        <is>
          <t>M1:14.5HR</t>
        </is>
      </c>
      <c r="L14" s="47" t="inlineStr">
        <is>
          <t>M2:7.5HR</t>
        </is>
      </c>
      <c r="M14" s="47" t="inlineStr">
        <is>
          <t>M7:2.HR</t>
        </is>
      </c>
    </row>
    <row r="15">
      <c r="A15" s="47" t="n">
        <v>8811001625</v>
      </c>
      <c r="B15" s="47" t="inlineStr">
        <is>
          <t>LG-1370-NEO+200H</t>
        </is>
      </c>
      <c r="C15" s="47" t="n">
        <v>0</v>
      </c>
      <c r="D15" s="47" t="n">
        <v>0</v>
      </c>
      <c r="E15" s="47" t="n">
        <v>0</v>
      </c>
      <c r="F15" s="47" t="n">
        <v>0</v>
      </c>
      <c r="G15" s="47" t="n">
        <v>0</v>
      </c>
      <c r="H15" s="47" t="n">
        <v>0</v>
      </c>
      <c r="I15" s="47" t="inlineStr"/>
      <c r="J15" s="47" t="inlineStr"/>
      <c r="K15" s="47" t="inlineStr"/>
      <c r="L15" s="47" t="inlineStr"/>
      <c r="M15" s="47" t="inlineStr"/>
    </row>
    <row r="16">
      <c r="A16" s="47" t="n">
        <v>8811001619</v>
      </c>
      <c r="B16" s="47" t="inlineStr">
        <is>
          <t>LG-1000-NEO</t>
        </is>
      </c>
      <c r="C16" s="47" t="n">
        <v>1</v>
      </c>
      <c r="D16" s="47" t="n">
        <v>0</v>
      </c>
      <c r="E16" s="47" t="n">
        <v>0</v>
      </c>
      <c r="F16" s="47" t="n">
        <v>0</v>
      </c>
      <c r="G16" s="47" t="inlineStr"/>
      <c r="H16" s="47" t="inlineStr"/>
      <c r="I16" s="47" t="inlineStr"/>
      <c r="J16" s="47" t="inlineStr"/>
      <c r="K16" s="47" t="inlineStr"/>
      <c r="L16" s="47" t="inlineStr"/>
      <c r="M16" s="47" t="inlineStr"/>
    </row>
    <row r="17">
      <c r="A17" s="47" t="n">
        <v>8811001623</v>
      </c>
      <c r="B17" s="47" t="inlineStr">
        <is>
          <t>LG-1000-NEO+200H</t>
        </is>
      </c>
      <c r="C17" s="47" t="n">
        <v>1</v>
      </c>
      <c r="D17" s="47" t="n">
        <v>0</v>
      </c>
      <c r="E17" s="47" t="n">
        <v>0</v>
      </c>
      <c r="F17" s="47" t="n">
        <v>0</v>
      </c>
      <c r="G17" s="47" t="inlineStr"/>
      <c r="H17" s="47" t="inlineStr"/>
      <c r="I17" s="47" t="inlineStr"/>
      <c r="J17" s="47" t="inlineStr"/>
      <c r="K17" s="47" t="inlineStr"/>
      <c r="L17" s="47" t="inlineStr"/>
      <c r="M17" s="4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showRuler="0" workbookViewId="0">
      <selection activeCell="D4" sqref="D4"/>
    </sheetView>
  </sheetViews>
  <sheetFormatPr baseColWidth="8" defaultRowHeight="16.5"/>
  <cols>
    <col width="13" customWidth="1" style="27" min="2" max="2"/>
    <col width="22" customWidth="1" style="27" min="3" max="4"/>
  </cols>
  <sheetData>
    <row r="1">
      <c r="A1" s="22" t="inlineStr">
        <is>
          <t>項次</t>
        </is>
      </c>
      <c r="B1" s="22" t="inlineStr">
        <is>
          <t>機型</t>
        </is>
      </c>
      <c r="C1" s="22" t="inlineStr">
        <is>
          <t>素材</t>
        </is>
      </c>
      <c r="D1" s="3" t="inlineStr">
        <is>
          <t>半成品</t>
        </is>
      </c>
      <c r="E1" s="3" t="inlineStr">
        <is>
          <t>成品</t>
        </is>
      </c>
      <c r="F1" s="22" t="inlineStr">
        <is>
          <t>總數</t>
        </is>
      </c>
    </row>
    <row r="2">
      <c r="A2" s="47" t="n">
        <v>1</v>
      </c>
      <c r="B2" s="23" t="inlineStr">
        <is>
          <t>PRO-1000</t>
        </is>
      </c>
      <c r="D2" s="47" t="n">
        <v>0</v>
      </c>
      <c r="E2" s="47" t="n">
        <v>0</v>
      </c>
      <c r="F2" s="4">
        <f>C2+D2+E2</f>
        <v/>
      </c>
    </row>
    <row r="3">
      <c r="A3" s="47" t="n">
        <v>2</v>
      </c>
      <c r="B3" s="23" t="inlineStr">
        <is>
          <t>HCMC-1270</t>
        </is>
      </c>
      <c r="C3" s="47" t="n"/>
      <c r="D3" s="47" t="n">
        <v>0</v>
      </c>
      <c r="E3" s="47" t="n">
        <v>0</v>
      </c>
      <c r="F3" s="4">
        <f>C3+D3+E3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showRuler="0" workbookViewId="0">
      <selection activeCell="D5" sqref="D5"/>
    </sheetView>
  </sheetViews>
  <sheetFormatPr baseColWidth="8" defaultRowHeight="16.5"/>
  <cols>
    <col width="14.75" customWidth="1" style="27" min="2" max="2"/>
  </cols>
  <sheetData>
    <row r="1">
      <c r="A1" s="22" t="inlineStr">
        <is>
          <t>項次</t>
        </is>
      </c>
      <c r="B1" s="22" t="inlineStr">
        <is>
          <t>機型</t>
        </is>
      </c>
      <c r="C1" s="22" t="inlineStr">
        <is>
          <t>素材</t>
        </is>
      </c>
      <c r="D1" s="22" t="inlineStr">
        <is>
          <t>成品</t>
        </is>
      </c>
      <c r="E1" s="22" t="inlineStr">
        <is>
          <t>總數</t>
        </is>
      </c>
    </row>
    <row r="2">
      <c r="A2" s="22" t="n">
        <v>1</v>
      </c>
      <c r="B2" s="23" t="inlineStr">
        <is>
          <t>DW</t>
        </is>
      </c>
      <c r="C2" s="22" t="n"/>
      <c r="D2" s="22" t="n"/>
      <c r="E2" s="22" t="n">
        <v>0</v>
      </c>
    </row>
    <row r="3">
      <c r="A3" s="22" t="n"/>
      <c r="B3" s="23" t="n"/>
      <c r="C3" s="22" t="n"/>
      <c r="D3" s="22" t="n"/>
      <c r="E3" s="2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showRuler="0" workbookViewId="0">
      <selection activeCell="B2" sqref="B2"/>
    </sheetView>
  </sheetViews>
  <sheetFormatPr baseColWidth="8" defaultRowHeight="16.5"/>
  <cols>
    <col width="14.75" customWidth="1" style="27" min="2" max="2"/>
  </cols>
  <sheetData>
    <row r="1">
      <c r="A1" s="22" t="n"/>
      <c r="B1" s="22" t="inlineStr">
        <is>
          <t>機型</t>
        </is>
      </c>
      <c r="C1" s="22" t="inlineStr">
        <is>
          <t>素材</t>
        </is>
      </c>
      <c r="D1" s="3" t="inlineStr">
        <is>
          <t>成品</t>
        </is>
      </c>
      <c r="E1" s="22" t="inlineStr">
        <is>
          <t>總數</t>
        </is>
      </c>
    </row>
    <row r="2">
      <c r="A2" s="47" t="n"/>
      <c r="B2" s="20" t="inlineStr">
        <is>
          <t>VW-X340</t>
        </is>
      </c>
      <c r="C2" s="47" t="n">
        <v>1</v>
      </c>
      <c r="E2" s="4" t="n">
        <v>1</v>
      </c>
    </row>
    <row r="3">
      <c r="B3" s="23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showRuler="0" workbookViewId="0">
      <selection activeCell="B7" sqref="B7"/>
    </sheetView>
  </sheetViews>
  <sheetFormatPr baseColWidth="8" defaultRowHeight="16.5"/>
  <cols>
    <col width="17.125" customWidth="1" style="27" min="1" max="1"/>
    <col width="45.375" customWidth="1" style="27" min="3" max="3"/>
    <col width="13.375" customWidth="1" style="27" min="4" max="4"/>
  </cols>
  <sheetData>
    <row r="1" ht="32.1" customHeight="1" s="27" thickBot="1" thickTop="1">
      <c r="A1" s="5" t="inlineStr">
        <is>
          <t>機型</t>
        </is>
      </c>
      <c r="B1" s="6" t="inlineStr">
        <is>
          <t>數量</t>
        </is>
      </c>
      <c r="C1" s="7" t="inlineStr">
        <is>
          <t>報廢原因</t>
        </is>
      </c>
      <c r="D1" s="15" t="inlineStr">
        <is>
          <t xml:space="preserve">廠商 </t>
        </is>
      </c>
    </row>
    <row r="2" ht="25.15" customHeight="1" s="27" thickBot="1">
      <c r="A2" s="8" t="inlineStr">
        <is>
          <t>HEP-2150工作台</t>
        </is>
      </c>
      <c r="B2" s="9" t="n">
        <v>0</v>
      </c>
      <c r="C2" s="14" t="inlineStr">
        <is>
          <t>加工溝寬錯誤*1(W2)(加工問題)</t>
        </is>
      </c>
      <c r="D2" s="18" t="inlineStr">
        <is>
          <t>楊鋼</t>
        </is>
      </c>
    </row>
    <row r="3" ht="25.15" customHeight="1" s="27" thickBot="1">
      <c r="A3" s="8" t="inlineStr">
        <is>
          <t>HSA-420工作台</t>
        </is>
      </c>
      <c r="B3" s="9" t="n">
        <v>0</v>
      </c>
      <c r="C3" s="14" t="inlineStr">
        <is>
          <t>NG*1(W5螺姆座Y軸錯誤)(成品)(加工問題)</t>
        </is>
      </c>
      <c r="D3" s="18" t="inlineStr">
        <is>
          <t>永棧</t>
        </is>
      </c>
    </row>
    <row r="4" ht="25.15" customHeight="1" s="27" thickBot="1">
      <c r="A4" s="8" t="inlineStr">
        <is>
          <t>SW-426工作台</t>
        </is>
      </c>
      <c r="B4" s="9" t="n">
        <v>0</v>
      </c>
      <c r="C4" s="14" t="inlineStr">
        <is>
          <t>NG*1-W2(加工問題)</t>
        </is>
      </c>
      <c r="D4" s="18" t="inlineStr">
        <is>
          <t>永棧</t>
        </is>
      </c>
    </row>
    <row r="5" ht="25.15" customHeight="1" s="27" thickBot="1">
      <c r="A5" s="8" t="inlineStr">
        <is>
          <t>HB-3190工作台</t>
        </is>
      </c>
      <c r="B5" s="9" t="n">
        <v>0</v>
      </c>
      <c r="C5" s="14" t="inlineStr">
        <is>
          <t>舊鑄件</t>
        </is>
      </c>
      <c r="D5" s="18" t="inlineStr">
        <is>
          <t>永棧</t>
        </is>
      </c>
    </row>
    <row r="6" ht="25.15" customHeight="1" s="27" thickBot="1">
      <c r="A6" s="8" t="inlineStr">
        <is>
          <t>HEP-2150橫樑</t>
        </is>
      </c>
      <c r="B6" s="9" t="n">
        <v>0</v>
      </c>
      <c r="C6" s="14" t="inlineStr">
        <is>
          <t>NG*1(加工問題)</t>
        </is>
      </c>
      <c r="D6" s="18" t="inlineStr">
        <is>
          <t>永棧</t>
        </is>
      </c>
    </row>
    <row r="7" ht="25.15" customHeight="1" s="27" thickBot="1">
      <c r="A7" s="8" t="n"/>
      <c r="B7" s="9" t="n"/>
      <c r="C7" s="10" t="n"/>
      <c r="D7" s="16" t="n"/>
    </row>
    <row r="8" ht="25.15" customHeight="1" s="27" thickBot="1">
      <c r="A8" s="8" t="n"/>
      <c r="B8" s="9" t="n"/>
      <c r="C8" s="10" t="n"/>
      <c r="D8" s="16" t="n"/>
    </row>
    <row r="9" ht="25.15" customHeight="1" s="27" thickBot="1">
      <c r="A9" s="8" t="n"/>
      <c r="B9" s="9" t="n"/>
      <c r="C9" s="10" t="n"/>
      <c r="D9" s="16" t="n"/>
    </row>
    <row r="10" ht="25.15" customHeight="1" s="27" thickBot="1">
      <c r="A10" s="8" t="n"/>
      <c r="B10" s="9" t="n"/>
      <c r="C10" s="10" t="n"/>
      <c r="D10" s="16" t="n"/>
    </row>
    <row r="11" ht="25.15" customHeight="1" s="27" thickBot="1">
      <c r="A11" s="8" t="n"/>
      <c r="B11" s="9" t="n"/>
      <c r="C11" s="10" t="n"/>
      <c r="D11" s="16" t="n"/>
    </row>
    <row r="12" ht="25.15" customHeight="1" s="27" thickBot="1">
      <c r="A12" s="8" t="n"/>
      <c r="B12" s="9" t="n"/>
      <c r="C12" s="10" t="n"/>
      <c r="D12" s="16" t="n"/>
    </row>
    <row r="13" ht="25.15" customHeight="1" s="27" thickBot="1">
      <c r="A13" s="8" t="n"/>
      <c r="B13" s="9" t="n"/>
      <c r="C13" s="10" t="n"/>
      <c r="D13" s="16" t="n"/>
    </row>
    <row r="14" ht="25.15" customHeight="1" s="27" thickBot="1">
      <c r="A14" s="8" t="n"/>
      <c r="B14" s="9" t="n"/>
      <c r="C14" s="10" t="n"/>
      <c r="D14" s="16" t="n"/>
    </row>
    <row r="15" ht="25.15" customHeight="1" s="27" thickBot="1">
      <c r="A15" s="8" t="n"/>
      <c r="B15" s="9" t="n"/>
      <c r="C15" s="10" t="n"/>
      <c r="D15" s="16" t="n"/>
    </row>
    <row r="16" ht="25.15" customHeight="1" s="27" thickBot="1">
      <c r="A16" s="8" t="n"/>
      <c r="B16" s="9" t="n"/>
      <c r="C16" s="10" t="n"/>
      <c r="D16" s="16" t="n"/>
    </row>
    <row r="17" ht="25.15" customHeight="1" s="27" thickBot="1">
      <c r="A17" s="8" t="n"/>
      <c r="B17" s="9" t="n"/>
      <c r="C17" s="10" t="n"/>
      <c r="D17" s="16" t="n"/>
    </row>
    <row r="18" ht="25.15" customHeight="1" s="27" thickBot="1">
      <c r="A18" s="8" t="n"/>
      <c r="B18" s="9" t="n"/>
      <c r="C18" s="10" t="n"/>
      <c r="D18" s="16" t="n"/>
    </row>
    <row r="19" ht="25.15" customHeight="1" s="27" thickBot="1">
      <c r="A19" s="8" t="n"/>
      <c r="B19" s="9" t="n"/>
      <c r="C19" s="10" t="n"/>
      <c r="D19" s="16" t="n"/>
    </row>
    <row r="20" ht="25.15" customHeight="1" s="27" thickBot="1">
      <c r="A20" s="8" t="n"/>
      <c r="B20" s="9" t="n"/>
      <c r="C20" s="10" t="n"/>
      <c r="D20" s="16" t="n"/>
    </row>
    <row r="21" ht="25.15" customHeight="1" s="27" thickBot="1">
      <c r="A21" s="8" t="n"/>
      <c r="B21" s="9" t="n"/>
      <c r="C21" s="10" t="n"/>
      <c r="D21" s="16" t="n"/>
    </row>
    <row r="22" ht="25.15" customHeight="1" s="27" thickBot="1">
      <c r="A22" s="11" t="n"/>
      <c r="B22" s="12" t="n"/>
      <c r="C22" s="13" t="n"/>
      <c r="D22" s="17" t="n"/>
    </row>
    <row r="23" ht="17.25" customHeight="1" s="27" thickTop="1"/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WinXP</dc:creator>
  <dcterms:created xsi:type="dcterms:W3CDTF">2010-07-23T09:41:49Z</dcterms:created>
  <dcterms:modified xsi:type="dcterms:W3CDTF">2026-05-25T06:34:56Z</dcterms:modified>
  <cp:lastModifiedBy>hsinwei(張新偉)</cp:lastModifiedBy>
  <cp:lastPrinted>2021-12-24T07:14:26Z</cp:lastPrinted>
</cp:coreProperties>
</file>