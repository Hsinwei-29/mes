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0" windowWidth="28800" windowHeight="13590" tabRatio="601" firstSheet="0" activeTab="4" autoFilterDateGrouping="1"/>
  </bookViews>
  <sheets>
    <sheet name="總數" sheetId="1" state="visible" r:id="rId1"/>
    <sheet name="底座" sheetId="2" state="visible" r:id="rId2"/>
    <sheet name="工作台" sheetId="3" state="visible" r:id="rId3"/>
    <sheet name="橫樑" sheetId="4" state="visible" r:id="rId4"/>
    <sheet name="立柱" sheetId="5" state="visible" r:id="rId5"/>
    <sheet name="機頭" sheetId="6" state="visible" r:id="rId6"/>
    <sheet name="橫樑滑座" sheetId="7" state="visible" r:id="rId7"/>
    <sheet name="定樑" sheetId="8" state="visible" r:id="rId8"/>
    <sheet name="報廢鑄件" sheetId="9" state="visible" r:id="rId9"/>
  </sheets>
  <definedNames/>
  <calcPr calcId="162913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_ "/>
  </numFmts>
  <fonts count="14">
    <font>
      <name val="新細明體"/>
      <charset val="136"/>
      <family val="1"/>
      <sz val="12"/>
    </font>
    <font>
      <name val="新細明體"/>
      <charset val="136"/>
      <family val="1"/>
      <sz val="12"/>
    </font>
    <font>
      <name val="新細明體"/>
      <charset val="136"/>
      <family val="1"/>
      <sz val="9"/>
    </font>
    <font>
      <name val="新細明體"/>
      <charset val="136"/>
      <family val="1"/>
      <color indexed="10"/>
      <sz val="12"/>
    </font>
    <font>
      <name val="新細明體"/>
      <charset val="136"/>
      <family val="1"/>
      <b val="1"/>
      <sz val="12"/>
    </font>
    <font>
      <name val="新細明體"/>
      <charset val="136"/>
      <family val="1"/>
      <color indexed="10"/>
      <sz val="12"/>
    </font>
    <font>
      <name val="新細明體"/>
      <charset val="136"/>
      <family val="1"/>
      <color indexed="12"/>
      <sz val="12"/>
    </font>
    <font>
      <name val="新細明體"/>
      <charset val="136"/>
      <family val="1"/>
      <color indexed="40"/>
      <sz val="12"/>
    </font>
    <font>
      <name val="新細明體"/>
      <charset val="136"/>
      <family val="1"/>
      <color indexed="61"/>
      <sz val="12"/>
    </font>
    <font>
      <name val="新細明體"/>
      <charset val="136"/>
      <family val="1"/>
      <color rgb="FFFF0000"/>
      <sz val="12"/>
    </font>
    <font>
      <name val="新細明體"/>
      <charset val="136"/>
      <family val="1"/>
      <color theme="1"/>
      <sz val="12"/>
    </font>
    <font>
      <name val="新細明體"/>
      <charset val="136"/>
      <family val="1"/>
      <color indexed="8"/>
      <sz val="12"/>
    </font>
    <font>
      <name val="細明體"/>
      <charset val="136"/>
      <family val="3"/>
      <color indexed="8"/>
      <sz val="12"/>
    </font>
    <font>
      <b val="1"/>
    </font>
  </fonts>
  <fills count="13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/>
      <right/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1" fillId="0" borderId="0" applyAlignment="1">
      <alignment vertical="center"/>
    </xf>
  </cellStyleXfs>
  <cellXfs count="112">
    <xf numFmtId="0" fontId="0" fillId="0" borderId="0" applyAlignment="1" pivotButton="0" quotePrefix="0" xfId="0">
      <alignment vertical="center"/>
    </xf>
    <xf numFmtId="0" fontId="0" fillId="2" borderId="1" applyAlignment="1" pivotButton="0" quotePrefix="0" xfId="0">
      <alignment horizontal="left" vertical="center"/>
    </xf>
    <xf numFmtId="49" fontId="0" fillId="0" borderId="0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0" fillId="3" borderId="3" applyAlignment="1" pivotButton="0" quotePrefix="0" xfId="0">
      <alignment horizontal="center" vertical="center"/>
    </xf>
    <xf numFmtId="0" fontId="0" fillId="3" borderId="0" applyAlignment="1" pivotButton="0" quotePrefix="0" xfId="0">
      <alignment vertical="center"/>
    </xf>
    <xf numFmtId="0" fontId="1" fillId="0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4" borderId="0" applyAlignment="1" pivotButton="0" quotePrefix="0" xfId="0">
      <alignment vertical="center"/>
    </xf>
    <xf numFmtId="0" fontId="0" fillId="0" borderId="3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6" borderId="4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0" fillId="0" borderId="2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9" fillId="0" borderId="1" applyAlignment="1" pivotButton="0" quotePrefix="0" xfId="0">
      <alignment vertical="center"/>
    </xf>
    <xf numFmtId="0" fontId="9" fillId="0" borderId="3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4" fillId="8" borderId="3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8" borderId="4" applyAlignment="1" pivotButton="0" quotePrefix="0" xfId="0">
      <alignment horizontal="center" vertical="center"/>
    </xf>
    <xf numFmtId="0" fontId="4" fillId="8" borderId="5" applyAlignment="1" pivotButton="0" quotePrefix="0" xfId="0">
      <alignment horizontal="center" vertical="center"/>
    </xf>
    <xf numFmtId="0" fontId="0" fillId="8" borderId="0" applyAlignment="1" pivotButton="0" quotePrefix="0" xfId="0">
      <alignment vertical="center"/>
    </xf>
    <xf numFmtId="0" fontId="0" fillId="9" borderId="3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8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0" borderId="5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0" fillId="11" borderId="1" applyAlignment="1" pivotButton="0" quotePrefix="0" xfId="0">
      <alignment horizontal="left" vertical="center"/>
    </xf>
    <xf numFmtId="0" fontId="0" fillId="11" borderId="5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2" borderId="1" applyAlignment="1" pivotButton="0" quotePrefix="0" xfId="0">
      <alignment horizontal="left" vertical="center"/>
    </xf>
    <xf numFmtId="0" fontId="11" fillId="8" borderId="1" applyAlignment="1" pivotButton="0" quotePrefix="0" xfId="0">
      <alignment horizontal="center"/>
    </xf>
    <xf numFmtId="0" fontId="1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8" borderId="0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0" fillId="0" borderId="0" pivotButton="0" quotePrefix="0" xfId="0"/>
    <xf numFmtId="164" fontId="0" fillId="2" borderId="0" applyAlignment="1" pivotButton="0" quotePrefix="0" xfId="0">
      <alignment vertical="center"/>
    </xf>
    <xf numFmtId="164" fontId="0" fillId="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0" fillId="2" borderId="4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4" fontId="0" fillId="2" borderId="1" applyAlignment="1" pivotButton="0" quotePrefix="0" xfId="0">
      <alignment vertical="center"/>
    </xf>
    <xf numFmtId="164" fontId="5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164" fontId="0" fillId="2" borderId="0" applyAlignment="1" pivotButton="0" quotePrefix="0" xfId="0">
      <alignment vertical="center"/>
    </xf>
    <xf numFmtId="164" fontId="0" fillId="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0" fillId="2" borderId="4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4" fontId="0" fillId="2" borderId="1" applyAlignment="1" pivotButton="0" quotePrefix="0" xfId="0">
      <alignment vertical="center"/>
    </xf>
    <xf numFmtId="164" fontId="5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0" fontId="13" fillId="0" borderId="19" applyAlignment="1" pivotButton="0" quotePrefix="0" xfId="0">
      <alignment horizontal="center" vertical="top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hsin</author>
    <author>ralf</author>
    <author>mwlee</author>
  </authors>
  <commentList>
    <comment ref="C9" authorId="0" shapeId="0">
      <text>
        <t xml:space="preserve">hsin:
3/11 27827
3/11 27874
3/11 27828
3/11 27875
3/11 27829
3/20 27876
</t>
      </text>
    </comment>
    <comment ref="B11" authorId="0" shapeId="0">
      <text>
        <t xml:space="preserve">hsin:
3/11 27827
3/20 27828
4/13 27874
4/15 27829
5/26 27876
5/26 27699
</t>
      </text>
    </comment>
    <comment ref="C15" authorId="0" shapeId="0">
      <text>
        <t xml:space="preserve">
3/16 27899
3/16 28003
3/16 27831
4/13 27807
3/20 27807
</t>
      </text>
    </comment>
    <comment ref="B17" authorId="0" shapeId="0">
      <text>
        <t xml:space="preserve">
3/19 27899
4/13 27807
4/13 27833
5/26 27834
5/26 27809
</t>
      </text>
    </comment>
    <comment ref="E22" authorId="1" shapeId="0">
      <text>
        <t xml:space="preserve">ralf:
單位:隻
</t>
      </text>
    </comment>
    <comment ref="E23" authorId="1" shapeId="0">
      <text>
        <t xml:space="preserve">ralf:
單位:隻
</t>
      </text>
    </comment>
    <comment ref="E25" authorId="1" shapeId="0">
      <text>
        <t xml:space="preserve">ralf:
單位:隻
</t>
      </text>
    </comment>
    <comment ref="B30" authorId="0" shapeId="0">
      <text>
        <t xml:space="preserve">hsin:
3/11 27839
3/11 27840
</t>
      </text>
    </comment>
    <comment ref="C30" authorId="0" shapeId="0">
      <text>
        <t xml:space="preserve">hsin:
3/11 27839
3/11 27840
</t>
      </text>
    </comment>
    <comment ref="B32" authorId="0" shapeId="0">
      <text>
        <t xml:space="preserve">hsin:
3/11 27877
hsin:
3/16 27836
3/16 27837
hsin:
3/20 27767
</t>
      </text>
    </comment>
    <comment ref="C32" authorId="0" shapeId="0">
      <text>
        <t xml:space="preserve">hsin:
3/20 27877
3/20 27836
3/20 27767
3/20 27837
3/20 27878
3/20 27768
</t>
      </text>
    </comment>
    <comment ref="C35" authorId="0" shapeId="0">
      <text>
        <t xml:space="preserve">hsin:
3/17 28042
</t>
      </text>
    </comment>
    <comment ref="C37" authorId="0" shapeId="0">
      <text>
        <t xml:space="preserve">hsin:
3/11 28025
3/11 27835
3/11 27914
3/25 27906
5/15 27770
5/15 27811
5/15 28113
</t>
      </text>
    </comment>
    <comment ref="C39" authorId="1" shapeId="0">
      <text>
        <t>ralf:
共用423工作台</t>
      </text>
    </comment>
    <comment ref="D39" authorId="1" shapeId="0">
      <text>
        <t>ralf:
共用HSA327橫樑</t>
      </text>
    </comment>
    <comment ref="D40" authorId="1" shapeId="0">
      <text>
        <t>ralf:
共用HSA-327橫樑</t>
      </text>
    </comment>
    <comment ref="D63" authorId="0" shapeId="0">
      <text>
        <t xml:space="preserve">hsin:
3/11 27839
3/11 27840
</t>
      </text>
    </comment>
    <comment ref="D64" authorId="0" shapeId="0">
      <text>
        <t xml:space="preserve">hsin:
3/11 27877
3/11 27836
3/11 27837
3/11 27878
</t>
      </text>
    </comment>
    <comment ref="D65" authorId="0" shapeId="0">
      <text>
        <t xml:space="preserve">hsin:
3/11 27842
3/11 27767
3/11 27906
3/11 27768
3/11 27811
</t>
      </text>
    </comment>
    <comment ref="D66" authorId="0" shapeId="0">
      <text>
        <t xml:space="preserve">hsin:
3/11 27835
3/11 27770
5/15 28118
4/6 28062
</t>
      </text>
    </comment>
    <comment ref="D70" authorId="0" shapeId="0">
      <text>
        <t xml:space="preserve">hsin:
3/11 27969
4/6 26808
4/16 28076
</t>
      </text>
    </comment>
    <comment ref="D71" authorId="0" shapeId="0">
      <text>
        <t xml:space="preserve">hsin:
4/27 27969
</t>
      </text>
    </comment>
    <comment ref="D72" authorId="0" shapeId="0">
      <text>
        <t xml:space="preserve">hsin:
3/11 27930
</t>
      </text>
    </comment>
    <comment ref="B87" authorId="1" shapeId="0">
      <text>
        <t>ralf:
加長1米</t>
      </text>
    </comment>
    <comment ref="B92" authorId="0" shapeId="0">
      <text>
        <t xml:space="preserve">hsin:
3/11 28007
</t>
      </text>
    </comment>
    <comment ref="C92" authorId="0" shapeId="0">
      <text>
        <t xml:space="preserve">hsin:
3/11 28007
</t>
      </text>
    </comment>
    <comment ref="C102" authorId="2" shapeId="0">
      <text>
        <t>mwlee:
1台內加工不良- 永棧鑄件</t>
      </text>
    </comment>
  </commentList>
</comments>
</file>

<file path=xl/comments/comment2.xml><?xml version="1.0" encoding="utf-8"?>
<comments xmlns="http://schemas.openxmlformats.org/spreadsheetml/2006/main">
  <authors>
    <author>guang</author>
    <author>hsinwei</author>
    <author>ralf</author>
    <author>001289</author>
  </authors>
  <commentList>
    <comment ref="F2" authorId="0" shapeId="0">
      <text>
        <t>guang:
3/2 M5*1 OK</t>
      </text>
    </comment>
    <comment ref="G2" authorId="0" shapeId="0">
      <text>
        <t xml:space="preserve">guang:
7/27 出1台(三廠)
</t>
      </text>
    </comment>
    <comment ref="E3" authorId="0" shapeId="0">
      <text>
        <t xml:space="preserve">guang:
1/7 M6*1 OK(17M)
10/22 M6*1 OK(17M)
10/27 M6*1 OK(17M)
</t>
      </text>
    </comment>
    <comment ref="C4" authorId="0" shapeId="0">
      <text>
        <t xml:space="preserve">guang:
3/19 入1台(YZ)(NEW)
3/30 入1台(YZ)(NEW)
4/11 入1台(YZ)(NEW)
</t>
      </text>
    </comment>
    <comment ref="E4" authorId="0" shapeId="0">
      <text>
        <t xml:space="preserve">guang:
4/30 M6*1 OK(17M)
5/2 M6*1 OK(17M)
25/5/27 M6*1 OK(17M)
</t>
      </text>
    </comment>
    <comment ref="F4" authorId="0" shapeId="0">
      <text>
        <t xml:space="preserve">guang:
7/20 M5*1 OK(813)
7/24 M5*1 OK(813)
7/24 出1台(轉台典研-HA18072002)
8/2 出1台(轉台典研-HA18072402)
25/6/6 M5*1 OK(813)(000400005768)
</t>
      </text>
    </comment>
    <comment ref="G4" authorId="1" shapeId="0">
      <text>
        <t xml:space="preserve">hsinwei:
25/06/23 ok
06/24出三廠(HA25060601-000400005768-100003301)
</t>
      </text>
    </comment>
    <comment ref="C5" authorId="2" shapeId="0">
      <text>
        <t xml:space="preserve">ralf:
12/12 4支送傑晃加工guang:
5/10 入2台(YZ)
7/11 入1台(YZ-換)
</t>
      </text>
    </comment>
    <comment ref="E5" authorId="2" shapeId="0">
      <text>
        <t xml:space="preserve">ralf:
NG品*1guang:
5/30 M6*1 OK(410)
5/31 M6*1 OK(410)
long:
7/26 m6*1 ok(523)
guang:
12/22 出1台(報廢)
</t>
      </text>
    </comment>
    <comment ref="F5" authorId="0" shapeId="0">
      <text>
        <t xml:space="preserve">guang:
3/13台偉入6台
3/13台偉入4台
4/17 入 6支(傑晃)
5/12 台偉入6台
7/10 台偉入4台
guang:
6/5 M5*1 OK(410)
6/6 M5*1 OK(410)
7/29 M5*1 OK(523)
</t>
      </text>
    </comment>
    <comment ref="G5" authorId="2" shapeId="0">
      <text>
        <t xml:space="preserve">ralf:
3/24 出4支
3/28 出1支
4/18 出1支(本廠)
5/3  出1台(本廠)
5/15  出5台(本廠)
5/17  出1台(本廠)
6/01  出2台(本廠)
6/12  出2台(本廠)
6/14  出1台(本廠)
6/28  出3台(本廠)
7/20  出1台(本廠)
8/2  出3台(本廠)
8/21  出1台(本廠)
6/28 研*2 OK
6/28  出1台(本廠-HA19060402)
7/12  出1台(本廠-HA19060601)
8/5 研*1 OK
8/5  出1台(本廠-HA19073002)
</t>
      </text>
    </comment>
    <comment ref="C6" authorId="0" shapeId="0">
      <text>
        <t xml:space="preserve">guang:
3/7 入2台(YZ)
4/17 入1台(YZ)
5/22 入1台(YZ)(新板)
6/5 入2台(YZ)(新板)
7/19 入1台(YZ)(新板)
9/6 入1台(YZ)(新板)
9/14 入1台(YZ)(新板)
9/26入1台(YZ)(新板)
10/16入1台(YZ)(新板)
10/26入1台(YZ)(新板)
10/27 入1台(YZ)(新板)
1/4 入1台(YZ)(新板)
1/15 入1台(YZ)(NEW)
3/1 入1台(YZ)(NEW)
3/5 入2台(YZ)(NEW)
3/12 入2台(YZ)(NEW)
5/14 入2台(YZ)(NEW)
5/16 入1台(YZ)(NEW)
6/8 入2台(YZ)(NEW)
7/11 入2台(YZ)(NEW)
7/20 入1台(YZ)(NEW)
7/30 入1台(YZ)(NEW)
11/22 入2台(YZ)(NEW)
11/28 入2台(YZ)(NEW)
3/6 入2台(YZ)(NEW)
3/11 入1台(YZ)(NEW)
6/17 入2台(YZ)(NEW)
21/6/28 入1台(YZ)(NEW)
22/6/21 入2台(YZ-#2820-#2874)
6/24 入1台(LD-#2897)
hsinwei:
25/10/7 入1台(LD-#5984)
</t>
      </text>
    </comment>
    <comment ref="E6" authorId="2" shapeId="0">
      <text>
        <t xml:space="preserve">ralf:
4/24 M6*1OK(17米)
5/27 M6*1OK(17米)(新)
6/19 M6*1OK(17米)(新)
6/20 M6*1OK(17m)(新
7/21M6*1OK(17M)(新
9/11M6*1OK(17M)(新
9/20M6*1OK(17M)(新
10/2M6*1OK(17M)(新
10/25M6*1OK(17M)(新)
10/26M6*1OK(17M)(新)
11/1M6*1OK(17M)(新)
11/2 M6*1OK(17M)(新)
11/13 M6*1OK(17M)(新)
2/12 M6*1OK(17M)(新)
2/13 M6*2 OK(17M)(新)
3/28 M6*1 OK(17M)(新)
3/29 M6*1 OK(17M)(新)
4/11 M6*1 OK(17M)(新)
4/12 M6*1 OK(17M)(新)
4/25 M6*1 OK(17M)(新)
5/22 M6*1 OK(17M)(新)
6/5 M6*1 OK(17M)(新)
6/6 M6*1 OK(17M)(新)
long:
6/21 M6*1 OK(17M新)
6/22 M6*1 OK(17M新)
9/19 M6*1 OK(17M)(新)
9/20 M6*1 OK(17M)(新)
10/11 M6*1 OK(17M)(新)
11/8 M6*1 OK(17M)(新)
11/9 M6*1 OK(17M)(新)
1/2 M6*1 OK(17M)(新)
1/3 M6*1 OK(17M)(新)
1/4 M6*1 OK(17M)(新)
1/5 M6*1 OK(17M)(新)
8/18 M6*1 OK(17M)(新)
8/21 M6*1 OK(17M)(新)
8/25 M6*1 OK(17M)(新)
21/6/29 M6*1 OK(17M)(新)
6/30 M6*1 OK(17M)(新)
8/9 M6*1 OK(17M)
8/10 M6*1 OK(17M)
22/6/29 M6*1 OK(17M-#2820)
7/1 M6*1 OK(17M-#2874)
7/4 M6*1 OK(17M-#2897)
guang:
25/10/13 M6*1 OK(17M-#5984)
</t>
      </text>
    </comment>
    <comment ref="F6" authorId="2" shapeId="0">
      <text>
        <t xml:space="preserve">
guang:
6/3 M5*1 OK(410)
6/27 M5*1 OK(410)
6/29 M5*1 OK(410)
7/27 M5*1 OK(409)
9/13 M5*1 OK(409)
9/22 M5*1 OK(409)
10/12 M5*1 OK(409)
11/1 M5*1 OK(409)
11/27 M5*1 OK(409)
12/27 M5*1 OK(409)
12/28 M5*1 OK(409)
1/02 M5*1 OK(409)
2/27 M5*1 OK(409)
3/13 M5*1 OK(409)
3/24 M5*1 OK(409)
4/9 M5*1 OK(409)
4/11 M5*1 OK(409)
4/24 M5*1 OK(409)
4/25 M5*1 OK(409)
4/27 M5*1 OK(409)
6/4 M5*1 OK(409)
long:
6/19 M5*1 OK(409)
6/21 M5*1 OK(409)
6/27 M5*1 OK(409)
6/29 M5*1 OK(409)
9/27 M5*1 OK(409)
10/1 M5*1 OK(409)
10/19 M5*1 OK(409)
11/19 M5*1 OK(409)
11/22 M5*1 OK(409)
2/20 M5*1 OK(409)
2/22 M5*1 OK(409)
2/26 M5*1 OK(409)
3/5 M5*1 OK(409)
21/3/17 M5*1 OK(410-H08000807)
3/24 M5*1 OK(410-H08000807)
3/30 M5*1 OK(410-H08000808-#2897)
7/13 M5*1 OK(410-000400001077)
7/16 M5*1 OK(410-000400001077)
8/17 M5*1 OK(410-000400001158)
8/20 M5*1 OK(410-000400001158)
22/8/20 M5*1 OK(410-000400002874)
8/25 M5*1 OK(410-000400002820)
8/29 M5*1 OK(410-#2897-H08000808)
25/10/22 M5*1 OK(410-000400005984)
guang:
guang:
hsinwei:
</t>
      </text>
    </comment>
    <comment ref="G6" authorId="0" shapeId="0">
      <text>
        <t>guang:
1/23 出1台(3廠)
2/7 出1台(3廠)
2/8 出1台(本廠)
3/21 出1台(本廠)
4/18 出1台(本廠)
5/29 出1台(3廠)
6/4 出1台(本廠)
6/8 出1台(本廠)
6/19 出1台(3廠)
7/25 出2台(本廠)
8/23 出1台(本廠)
9/27 出1台(3廠)
10/23 研*1 OK
10/25 研*1 OK
10/29 研*1 OK
11/6 研*1 OK
11/12 出1台(6路)
11/19 出2台(6路)
1/25 出1台(6路-HA18062901)
1/31 研*1 OK
2/12 研*1 OK
1/25 出2台(6路-HA18111901,HA18092901)
7/31 研*1 OK
11/5 研*1 OK
12/4 研*1 OK
5/5 研*1 OK
12/11 出1台(6路-HA19022202-26787)
21/2/5 出1台(6路-HA19022002-100000248)
3/4 出1台(6路-HA19022601-100000216)
3/23 出1台(6路-HA18112201-100000425)
3/24 出1台(3廠-HA18120602-100000298)
4/9 出1台(3廠-HA18060401-100000485)
4/14 研*1 OK
4/15 研*1 OK
5/6 出1台(6路-HA21031701-100000395-H08000807)
5/6 出1台(6路-HA21032301-100000396-H08000807)
5/22 研*1 OK(H08000808)
8/5 研*1 OK(000400001077)
11/25 研*2 OK(000400001158)
22/3/29 出1台(3廠-HA21082001-100001656-000400001158)
4/25 出1台(3廠-HA21071301-100001436-000400001077)
guang:
5/11 出1台(3廠-HA21071601-100001437-000400001077)
9/8 研*1 OK(000400002820)
001289:
10/14 研*1 OK(000400002897)
001289:
23/5/2 出1台(3廠-HA22082501-100002321-000400002820)
6/27 研*1 OK(000400002874)
10/16 出1台(3廠-HA22082001-100002504-000400002874)
guang:
24/4/22 出1台(本廠-HA21032901-100002782-#2897-H08000808)
25/3/24 出1台(3廠-HA21081701-100003244-000400001158)
guang:
25/10/29 研*1 OK(000400005984)
11/3 出1台(本廠-HA22082901-100003402-000400002897)
11/3 出1台(本廠-HA25102101-100003406-000400005984)</t>
      </text>
    </comment>
    <comment ref="C7" authorId="0" shapeId="0">
      <text>
        <t xml:space="preserve">guang:
5/25 入1台(YZ)(NEW)
8/9 入1台(YZ)(NEW)
9/6 入1台(YZ)(NEW)
9/27 入1台(YZ)(NEW)
5/17 入2台(YZ)(NEW)
6/10 入1台(YZ)(NEW)
7/15 入1台(YZ)(NEW)
7/16 入1台(YZ)(NEW)
21/4/8 入1台(YZ)(NEW)
4/19 入1台(YZ)(NEW)
5/5 入1台(YZ)(NEW)
5/6 入1台(YZ)(NEW)
22/7/18 入1台(LD-#2926)
8/12 入1台(LD-#3052)
guang:
23/2/10 入1台(LD-#3394)
4/6 入1台(LD-#3463)
24/11/15 入1台(LD-#5185)
guang:
12/18 入1台(LD-#5297)
</t>
      </text>
    </comment>
    <comment ref="E7" authorId="0" shapeId="0">
      <text>
        <t xml:space="preserve">guang:
7/6 M6*1OK(17M)(加工有問題)---OK    8/8M6*1OK(17M)
8/9 M6*1OK(17M)
6/21 M6*1 OK(17M)
8/13 M6*1 OK(17M)
8/14 M6*1 OK(17M)
9/21 M6*1 OK(17M)
10/12 M6*1 OK(17M)
12/23 M6*1 OK(17M)
12/25 M6*1 OK(17M)
7/9 M6*1 OK(17M)
7/27 M6*1 OK(17M)
7/29 M6*1 OK(17M)
21/4/13 M6*1 OK(17M)
4/23 M6*1 OK(17M)
8/30 M6*1 OK(17M-502)
9/1 M6*1 OK(17M-658)
22/7/23 M6*1 OK(17M-#2926)
8/22 M6*1 OK(17M-#3052)
23/2/20 M6*1 OK(17M-#3394)
4/10 M6*1 OK(17M-#3463)
24/11/21 M6*1 OK(17M-#5185)
12/28 M6*1 OK(17M-#5297)
</t>
      </text>
    </comment>
    <comment ref="F7" authorId="0" shapeId="0">
      <text>
        <t xml:space="preserve">guang:
8/22 M5*1 OK(409)
1/22 M5*1 OK(409)
3/27 M5*1 OK(409)
6/25 M5*1 OK(409)
8/18 M5*1 OK(409)
9/4 M5*1 OK(409)
10/3 M5*1 OK(409)
10/24 M5*1 OK(813)
12/30 M5*1 OK(410)
1/8 M5*1 OK(410)
7/28 M5*1 OK(410)
8/4 M5*1 OK(410)
8/7 M5*1 OK(410)
21/6/21 M5*1 OK(410-H08000810)
6/24 M5*1 OK(410-H08000810)
9/29 M5*1 OK(410-000400000658)
10/4 M5*1 OK(410-000400000502)
22/7/30 M5*1 OK(410-000400002926)
9/15 M5*1 OK(410-000400003052)
23/3/3 M5*1 OK(410-000400003394)
4/17 M5*1 OK(410-000400003463)
24/12/4 M5*1 OK(410-000400005185)
25/1/8 M5*1 OK(410-000400005297)
</t>
      </text>
    </comment>
    <comment ref="G7" authorId="2" shapeId="0">
      <text>
        <t xml:space="preserve">ralf:
9/8 研磨OK*1
ralf:
此庫存需搭配特殊版金 側邊
guang:
2/22 出1台(特殊 側邊板金)
guang:
5/17 出1台(三廠)
5/24 出1台(三廠)
7/9 出1台(三廠)
8/30 研磨OK*1
8/30 出1台(三廠)
10/19 研磨OK*1
11/16 研磨OK*1
4/8 出1台(三廠-HA18090301)
12/10 出1台(6路-HA18100302)
2/19 出1台(6路-HA18102602)
2/27 研磨OK*1
4/9 出1台(6路-HA19123001-27838)
8/21 研磨OK*1
9/15 研磨OK*2
9/30 出1台(6路-HA20080401-27839)
guang:
入*1(本廠退回)
21/1/20 出1台(三廠-HA20080401-100000242)
8/10 研磨OK*1(H080000810)
8/26 出1台(三廠-HA20010801-100000941-000400000749)
9/11 研磨OK*1(H080000810)
10/20  研磨OK*1(000400000502)
11/5  研磨OK*1(000400000658)
22/1/4 出1台(本廠-HA20072801-100001266-000400000749)
1/5 出1台(三廠-HA21062101-100000941-H080000810)
1/7 出1台(三廠-HA20080701-100000902-000400000790)
3/15 出1台(三廠-HA21100401-100001582-000400000502)
5/9 出1台(三廠-HA21062401-100001583-H080000810)
7/21 出1台(三廠-HA21092901-100001942-000400000790)
9/1  研磨OK*1(000400002926)
001289:
11/11  研磨OK*1(000400003052)
guang:
23/1/5 出1台(三廠-HA22091501-100002087-000400003052)
3/16 出1台(三廠-HA22073001-100002247-000400002926)
4/13  研磨OK*1(000400003394)
4/13 出1台(三廠-HA23030301-100002292-000400003394)
6/5  研磨OK*1(000400003463)
24/10/18 出1台(三廠-HA23041701-100002950-000400003463)
12/27  研磨OK*1(000400005158)
12/31 出1台(三廠-HA24120401-100003083-000400005185)
001289:
25/1/22 出1台(三廠-HA25010801-100002935-000400005297)
</t>
      </text>
    </comment>
    <comment ref="C8" authorId="2" shapeId="0">
      <text>
        <t xml:space="preserve">ralf:guang:
3/17 入1支(CFC)
3/20 入1支(CFC)
3/21 入1台(YJF)
3/23 入1台(YJF)
3/28 入1台(YJF)
3/30 入1台(YJF)
4/10 入2台(YJF)
4/27 入2支(CFC)
6/1 入2支(YJF)
7/20 入2支(YJF)
7/27 入3支(YJF)
8/11 入1台(CFC)
9/20 入1台(CFC)(new)
12/1 入1台(CFC)(new)
12/21 入1台(CFC)(new)
1/3 入1台(YJF)(new)
1/10 入2支(YJF)(OLD)
1/18 入1支(YJF)(OLD)
1/18 入1台(CFC)(new)
1/22 入1支(YJF)(OLD)
1/23 入1台(CFC)(new)
1/26 入1台(CFC)(new)
1/31 入1台(CFC)(new)
2/2 入1台(CFC)(new)
3/14 入2台(CFC)(new)
4/10 出2台(CFC)(轉隆升加工)
4/11 出3台(CFC)(轉隆升加工)
4/26 入2支(YJF)(NEW)
4/30 入1台(YJF)(NEW)
5/11 入2支(YJF)(NEW)
5/17 入1台(YJF)(NEW)
5/21 入1台(YJF)(NEW)
5/24 出2台(YJF)(轉隆升加工)
5/28 出3台(YJF)(轉隆升加工)
5/31 入1台(YJF)(NEW)
7/3 入2台(YJF)(NEW)
11/19 入1台(CFC)(new)
1/2 入3台(CFC)(new)
3/25 入3台(CFC)(new)
4/15 入2台(YJF)(NEW)
4/29 入2台(YJF)(NEW)
5/14 入1台(CFC)(NEW)
5/28 入1台(CFC)(NEW)
6/14 入1台(CFC)(NEW)
6/20 入1台(YJF)(NEW)
6/27 入1台(CFC)(NEW)
6/28 入2台(YJF)(NEW)
7/4 入1台(YJF)(NEW)
8/28 入1台(CFC)(NEW)
9/9 入1台(CFC)(NEW)
1/9 入1台(CFC)(NEW)
3/20 入2台(CFC)(NEW)
3/24 入1台(CFC)(NEW)
3/25 入1台(CFC)(NEW)
4/8 入2台(CFC)(NEW)
4/20 入1台(CFC)(NEW)
8/27 入2台(CFC)(NEW)
10/26 入2台(CFC)(NEW)
11/26 入2台(CFC)(NEW)
12/11 入2台(YJF)(NEW)
21/2/2 入1台(YJF)(NEW)
2/18 入1台(YJF)(NEW)
2/23 入1台(YJF)(NEW)
4/1 入1台(YJF)(NEW)
5/11 入1台(YJF)(NEW)
5/14 入1台(CFC)(NEW)
5/19 入1台(YJF)(NEW)
5/21 入1台(YJF)(NEW)
6/2 入1台(YJF)(NEW)
6/3 入1台(CFC)(NEW)
6/15 入2台(YJF)(NEW)
6/23 入1台(YJF)(NEW)
7/2 入1台(CFC)(NEW)
7/6 入3台(YJF)(NEW)
22/3/3 入1台(CFC-#2393)
3/3 入1台(CFC-#2394)
5/23 入2台(CFC-#2787)
6/9 入1台(CFC-#2855)
hsin:
6/13 入1台(YJF-#0962)
8/25 入2台(YJF-#3076)
23/4/7 入1台(CFC-#3472)
5/2 入1台(CFC-#3515)
5/17 入1台(CFC-#3556)
6/13 入1台(CFC-#3617)
7/25 入1台(CFC-#3731)
24/1/10 入1台(CFC-#4225)
5/15 入1台(YJF-#4570)
7/9 入1台(CFC-#4784)
7/11 入1台(CFC-#4815)
8/1 入1台(CFC-#4869)
8/2 入1台(YJF-#4864)
9/3 入1台(CFC-#4953)
guang:
25/3/18 入2台(CFC-#5571)
4/1 入1台(YJF-#5595)
4/7 入1台(YJF-#5595)
4/18 入1台(CFC-#5675)
4/23 入1台(CFC-#5675)
</t>
      </text>
    </comment>
    <comment ref="E8" authorId="0" shapeId="0">
      <text>
        <t xml:space="preserve">guang:
8/1 M6*1 OK(17M)
11/3 M6*1 OK(17M)
11/4 M6*1 OK(17M)
11/6 M6*1 OK(17M)
1/29 M6*1ok(17M)(new)
2/21 M6*1ok(17M)(new)
2/22 M6*1ok(17M)(old)
3/2 M6*2 OK(17M)(old)
7/28 M6*1OK(17M)(new)
7/30 M6*1OK(17M)(new)
7/31 M6*1OK(17M)(new)
9/25 M6*1OK(17M)(new)
10/15 M6*1OK(17M)(new)-設變孔位
10/16 M6*1OK(17M)(new)-設變孔位
11/2 M6*1OK(17M)(new)-設變孔位
11/12 M6*1OK(17M)(new)-設變孔位
2/14 M6*1OK(17M)(new)-設變孔位
2/15 M6*1OK(17M)(new)-設變孔位
2/22 M6*1OK(17M)(new)-設變孔位
2/23 M6*1OK(17M)(new)-設變孔位
3/12 M6*1OK(17M)(new)-設變孔位
3/13 M6*1OK(17M)(new)-設變孔位
3/14 M6*1OK(17M)(new)-設變孔位
4/17 M6*1OK(17M)(new)-設變孔位
4/26 M6*2OK(17M)(new)
6/12 M6-2*2 OK(408)(new)
6/13 M6-2*2 OK(408)(new)
6/26 M6-2*1 OK(408)(new)
7/4 M6*1OK(17M)(new)
7/5 M6*1OK(17M)(new)
7/8 M6*1OK(17M)(new)
7/9 M6*1OK(17M)(new)
12/10 M6*1OK(17M)(new)
12/12 M6*1OK(17M)(new)
2/3 M6*1OK(17M)(new)
4/27 M6*1OK(17M)(new)
4/28 M6*1OK(17M)(new)
5/4 M6*1OK(17M)(new)
5/6 M6*1OK(17M)(new)
5/7 M6*1OK(17M)(new)
8/12 M6*1OK(17M)(new)
8/14 M6*1OK(17M)(new)
9/14 M6*1OK(17M)(new)
9/17 M6*1OK(17M)(new)
12/14 M6*1OK(17M)(new)
12/16 M6*1OK(17M)(new)
21/2/2 M6*1OK(17M)(new)
2/4 M6*1OK(17M)(new)
2/5 M6*1OK(17M)(new)
2/17 M6*1OK(17M)(new)
3/3 M6*1OK(17M)(H08000776)
3/4 M6*1OK(17M)(H08000776)
4/8 M6*1 OK(17M)(H08000776)
5/24 M6*1 OK(17M)(H08000776)
5/25 M6*1 OK(17M)(H08000776)
5/26 M6*1 OK(17M)(000400000381)
5/28 M6*1 OK(17M)(000400000381)
6/19 M6*1 OK(17M)(000400000381)
6/21 M6*1 OK(17M)(000400000730)
6/22 M6*1 OK(17M)(000400000837)
6/24 M6*1 OK(17M)(000400000381)
6/26 M6*1 OK(17M)(000400000381)
7/30 M6*1 OK(17M)(000400000381)
8/3 M6*1 OK(17M)(000400001073)
8/4 M6*1 OK(17M)(000400001103)
8/27 M6*1 OK(17M)(000400001037)
22/3/17 M6*1 OK(17M-#2394)
3/19 M6*1 OK(17M-#2393)
6/2 M6*1 OK(17M-#2787)
6/7 M6*1 OK(17M-#2787)
6/17 M6*1 OK(17M-#2855)
6/28 M6*1 OK(17M-#962)
9/1 M6*1 OK(17M-#3076)
9/5 M6*1 OK(17M-#3076)
23/4/12 M6*1 OK(17M-#3472)
5/11 M6*1 OK(17M-#3515)
6/28 M6*1 OK(17M-#3556)
7/10 M6*1 OK(17M-#3617)
8/1 M6*1 OK(17M-#3731)
24/1/15 M6*1 OK(17M-#4225)
5/27 M6*1 OK(17M-#4570)
7/16 M6*1 OK(17M-#4815)
7/17 M6*1 OK(17M-#4784)
8/7 M6*1 OK(17M-#4869)
8/9 M6*1 OK(17M-#4864)
9/21 M6*1 OK(17M-#4953)
guang:
25/3/21 M6*1 OK(17M-#5571)
3/25 M6*1 OK(17M-#5571)
4/26 M6*1 OK(17M-#5675)
4/29 M6*1 OK(17M-#5675)
7/11 M6*1 OK(17M-#5595)
7/16 M6*1 OK(17M-#5595)
</t>
      </text>
    </comment>
    <comment ref="F8" authorId="0" shapeId="0">
      <text>
        <t xml:space="preserve">guang:
7/3 M5*1 OK (410)
7/5 M5*1 OK (410)
7/17 M5*1 OK (409)
7/31 M5*1 OK (409)
8/2 M5*1 OK (409)
9/4 M5*1 OK (409)
9/30 M5*1 OK(409) 
10/3 M5*1 OK(409) 
10/14 M5*1 OK(409) 
10/30 M5*1 OK(409) 
12/5 M5*1 OK(409)
12/7 M5*1 OK(409) 
12/21 M5*1 OK(409) 
12/25 M5*1 OK(409) 
1/24 M5*1 OK(409) 
2/13 M5*1 OK(409) 
3/1 M5*1 OK(409) 
3/5 M5*1 OK(409) 
3/17 M5*1 OK(409) 
3/20 M5*1 OK(409)
8/15 M5*1 OK(409)
8/21 M5*1 OK(409)
8/23 M5*1 OK(409)
10/8 M5*1 OK(409)
10/20 M5*1 OK(409)
10/24 M5*1 OK(409)
10/27 M5*1 OK(409)
10/30 M5*1 OK(409)
2/20 M5*1 OK(410)
2/23 M5*1 OK(410)
3/7 M5*1 OK(410)
3/11 M5*1 OK(410)
3/21 M5*1 OK(410)
3/29 M5*1 OK(410)
4/2 M5*1 OK(410)
5/7 M5*1 OK(410)
5/9 M5*1 OK(410)
5/14 M5*1 OK(410)
6/14 M5*1 OK(410)
6/20 M5*1 OK(410)
6/25 M5*1 OK(410)
6/27 M5*1 OK(410)
7/3 M5*1 OK(410)
8/6 M5*1 OK(410)
8/13 M5*1 OK(410)
8/21 M5*1 OK(410)
8/29 M5*1 OK(410)
9/6 M5*1 OK(410)
12/17 M5*1 OK(410)
12/24 M5*1 OK(410)
2/21 M5*1 OK(410)
6/3 M5*1 OK(410)
6/9 M5*1 OK(410)
7/2 M5*1 OK(410)
7/8 M5*1 OK(410)
9/17 M5*1 OK(410)
9/23 M5*1 OK(410)
9/30 M5*1 OK(410)
10/8 M5*1 OK(410)
10/15 M5*1 OK(410)
21/1/6 M5*1 OK(410)
1/13 M5*1 OK(410)
1/19 M5*1 OK(410)
2/18 M5*1 OK(410)
2/22 M5*1 OK(410)
2/24 M5*1 OK(410)(HA21022401-000400000175)
3/3 M5*1 OK(410)
3/8 M5*1 OK(410)(HA21030801-H08000776)
3/12 M5*1 OK(410-H08000776)
5/14 M5*1 OK(410-H08000776)
6/4 M5*1 OK(410-H08000776)
6/8 M5*1 OK(410-H08000776)
6/11 M5*1 OK(410-000400000381)
6/16 M5*1 OK(410-000400000381)
6/28 M5*1 OK(410-000400000381)
7/1 M5*1 OK(410-000400000381)
7/6 M5*1 OK(410-000400000381)
7/20 M5*1 OK(410-000400000730)
8/2 M5*1 OK(410-000400000837)
8/10 M5*1 OK(410-000400001073)
8/27 M5*1 OK(410-000400000381)
8/31 M5*1 OK(410-000400001103)
9/3 M5*1 OK(410-000400001037)
22/3/26 M5*1 OK(410-000400002394)
3/30 M5*1 OK(410-000400002393)
6/17 M5*1 OK(410-000400002787)
6/22 M5*1 OK(410-000400002787)
6/25 M5*1 OK(410-000400002855)
7/22 M5*1 OK(410-000400000962)
9/27 M5*1 OK(410-000400003076)
10/3 M5*1 OK(410-000400003076)
23/4/21 M5*1 OK(410-000400003472)
6/30 M5*1 OK(410-000400003515)
7/6 M5*1 OK(410-000400003556)
8/4 M5*1 OK(410-000400003617)
8/14 M5*1 OK(410-000400003731)
24/2/20 M5*1 OK(410-000400004225)
6/25 M5*1 OK(410-000400004570)
7/23 M5*1 OK(410-000400004815)
7/30 M5*1 OK(410-000400004784)
8/22 M5*1 OK(410-000400004864)
8/28 M5*1 OK(410-000400004869)
9/27 M5*1 OK(410-000400004953)
guang:
25/4/24 M5*1 OK(410-000400005571)
4/29 M5*1 OK(410-000400005571)
5/16 M5*1 OK(410-000400005675)
5/22 M5*1 OK(410-000400005675)
7/31 M5*1 OK(410-000400005595)
9/9 M5*1 OK(410-000400005595)
</t>
      </text>
    </comment>
    <comment ref="G8" authorId="0" shapeId="0">
      <text>
        <t xml:space="preserve">guang:
1/21 出1台(三廠-HA19080602)
2/6 出1台(三廠-HA19082901)
3/2 出1台(三廠-HA19082101)
3/11 出1台(三廠-HA19070301)
3/12 研磨OK*1
3/20 研磨OK*1
3/24 研磨OK*1
3/25 研磨OK*1
3/30 出1台(三廠-HA190121701)
6/18 研磨OK*1
6/23 出1台 (本廠-HA20060301-機號:27836)
7/21 研磨OK*1
7/28 研磨OK*1
7/30 出1台 (本廠-HA20060901-機號:28231)
8/7 研磨OK*1
8/21 出1台 (三廠-HA20070201-機號:27877)
8/26 出1台 (本廠-HA20070801-機號:27837)
10/23 出1台 (本廠-HA19090501-機號:27878)
10/26 出1台(三廠-HA19070401-機號28320)
10/26 出1台(三廠-HA20022101-機號28321)
10/29 研磨OK*1
11/2 出1台(三廠-HA20091701-機號28325)
11/12 研磨OK*1
11/13 出1台(三廠-HA20092301-機號27912)
11/18 研磨OK*1
12/22 研磨OK*1
21/1/7 出1台(三廠-HA20093001-機號28316)
21/1/7 出1台(三廠-HA20101601-機號28317)
12/30 研磨OK*1
21/1/15 出1台(三廠-HA20100801-配100000205)
1/25 研磨OK*1
1/28 出1台(三廠-HA21010901-配100000206)
21/2/4 研磨OK*1
2/4 出1台(三廠-HA21011301-配100000296)
2/5 研磨OK*1
2/5 出1台(三廠-HA21011901-配100000243)
2/24 研磨OK*1
2/25 出1台(三廠-HA21021801-配100000244)
3/8 研磨OK*1
3/9 出1台(三廠-HA21022201-配100000249)
3/25 研磨OK*1
4/1 出1台(三廠-HA21022401-配100000544-000400000175)
3/26 研磨OK*1
4/14 研磨OK*1
4/29 研磨OK*1
5/12 出1台(三廠-HA21030301-配100000629)
5/14 出1台(三廠-HA21030801-100000630-H08000776)
6/8 研磨OK*1(H08000776)
7/2 出1台(三廠-HA21031201-100000919-H08000776)
7/1 研磨OK*2(000400000381*2)
7/10 研磨OK*2(H08000776*2)
8/25 出1台(三廠-HA21060801-100000743-H08000776)
9/29 研磨OK*1(000400000730*1)
9/29 研磨OK*1(000400000381*1)
10/12 出1台(三廠-HA21070601-100000967-000400000381)
10/26 研磨OK*1(000400001103*1)
11/4 出1台(三廠-HA21051401-100001062-H08000776)
11/9 出1台(三廠-HA21083101-100000181-000400001103)
12/2 出1台(三廠-HA21061101-100001313-000400000381)
12/9 出1台(三廠-HA21061601-100001332-000400000381)
22/2/14 研磨OK*2(000400001037*1-#381)
2/16 研磨OK*1(000400000837)
3/8 出1台(三廠-HA21082701-100001334-000400000381)
4/7 出1台(三廠-HA21080201-100001686-000400000837)
4/25 出1台(三廠-HA21060401-100001741-H08000776)
5/3 出1台(三廠-HA21070201-100001743-000400000730)
5/14 出1台(三廠-HA21030801-100000630-H08000776)
6/8 研磨OK*1(H08000776)
7/2 出1台(三廠-HA21031201-100000919-H08000776)
7/1 研磨OK*2(000400000381*2)
7/10 研磨OK*2(H08000776*2)
8/25 出1台(三廠-HA21060801-100000743-H08000776)
9/29 研磨OK*1(000400000730*1)
9/29 研磨OK*1(000400000381*1)
10/12 出1台(三廠-HA21070601-100000967-000400000381)
10/26 研磨OK*1(000400001103*1)
11/4 出1台(三廠-HA21051401-100001062-H08000776)
11/9 出1台(三廠-HA21083101-100000181-000400001103)
12/2 出1台(三廠-HA21061101-100001313-000400000381)
12/9 出1台(三廠-HA21061601-100001332-000400000381)
22/2/14 研磨OK*2(000400001037*1-#381)
2/16 研磨OK*1(000400000837)
3/8 出1台(三廠-HA21082701-100001334-000400000381)
4/7 出1台(三廠-HA21080201-100001686-000400000837)
4/25 出1台(三廠-HA21060401-100001741-H08000776)
5/3 出1台(三廠-HA21070201-100001743-000400000730)
5/13 出1台(三廠-HA21090301-100001453-000400001037)
5/9 研磨OK*1(000400002394)
5/17 出1台(三廠-HA22032601-100001454-000400002394)
5/24 研磨OK*2(000400000381*2)
6/9 研磨OK*1(000400002393)
6/15 研磨OK*1(000400001073)
7/20 出1台(三廠-HA21062801-100001820-000400000381)
8/5 研磨OK*2(000400002787*2)
001289:
10/20 出1台(三廠-HA22033001-100001958-000400002393)
guang:
10/26 出1台(三廠-HA21070501-100002000-000400000381)
001289:
10/26 研磨OK*1(000400003076*1)
11/14 出1台(三廠-HA22092701-100002093-000400003076)
11/28 研磨OK*1(000400000962*1)
12/8 研磨OK*1(000400003076*1)
23/1/30 出1台(三廠-HA22100301-100002156-000400003076)
12/8 研磨OK*1(000400000962*1)
23/3/24 出1台 (本廠-HA21081001-100002293-000400001073)
4/10 出1台(三廠-HA22072101-100002291-000400000962)
5/2 出1台(三廠-HA22061701-100002373-000400002787 )
5/18 出1台(三廠-HA22062201-100002275-000400002787 )
5/22 研磨OK*1(#2855*1，#3472*1)
7/31 研磨OK*1(#3556*1)
8/1 研磨OK*1(#3515*1)
8/24 出1台(三廠-HA23063001-100002544-000400003515)
9/5 研磨OK*1(#3617*1)
9/11 出1台(三廠-HA21082501-100002546-000400002855)
9/14 研磨OK*1(#3731*1)
10/2 出1台(三廠-HA23042101-100002565-000400003472)
10/27 出1台(三廠-HA23070601-100002562-000400003556)
12/6 出1台(三廠-HA23081401-100002632-000400003731)
24/4/15 研磨OK*1(#4225)
4/25 出1台(三廠-HA23080401-100002813-000400003617)
5/22 出1台(三廠-HA24022001-100002779-000400004225)
7/8 研磨OK*1(#4570)
7/12 出1台(本廠-HA24062501-100002872-000400004570)
8/2 研磨OK*1(#4815)
8/6 出1台(三廠-HA24072301-100002724-000400004815)
8/12 研磨OK*1(#4784)
9/3 研磨OK*1(#4864)
11/14 研磨OK*1(#4869)
11/19 出1台(三廠-HA24073001-100003043-000400004784)
guang:
12/3 研磨OK*1(#4953)
25/2/7 出1台(廠內展用-三廠-HA24082201-100003170-000400004864)
2/8 出1台(廠內展用-三廠-HA24082801-100003168-000400004869)
2/20 出1台(三廠-HA24092701-100003125-000400004953)
6/2 研磨OK*1(#5571)
6/5 出1台(三廠-HA25042301-100003321-000400005571)
6/10 研磨OK*1(#5571)
6/18 研磨OK*1(#5675)
7/10 研磨OK*1(#5675)
9/18 研磨OK*1(#5595)
9/19 出1台(三廠-HA25052201-100003401-000400005675)
       研磨OK*1(#5595)
</t>
      </text>
    </comment>
    <comment ref="C9" authorId="0" shapeId="0">
      <text>
        <t>guang:
4/7 入1台(YZ)
4/17 入1台(YZ)
4/25 入1台(YZ)
4/28 入1台(YZ)
5/24 入1台(YZ)
6/26 入1台(YZ)(NEW)
7/10 入1台(YZ)(NEW)
8/9 入1台(YZ)(NEW)
8/28 入1台(YZ)(NEW)
11/13 入1台(YZ)(NEW)
1/4 入2台(YZ)(NEW)
1/19 入1台(YZ)(NEW)
1/22 入1台(YZ)(NEW)
2/2 入2台(YZ)(NEW)
2/21 入3台(YZ)(NEW)
5/9 入1台(YZ)(NEW)
5/10 入1台(YZ)(NEW)
7/10 入1台(YZ)(NEW)
7/24 入1台(YZ)(NEW)
7/26 入1台(YZ)(NEW)
8/7 入1台(YZ)(NEW)
8/21 入1台(YZ)(NEW)
9/4 入1台(YZ)(NEW)
11/29 入1台(YZ)(NEW)
12/4 入1台(YZ)(NEW)
1/2 入1台(YZ)(NEW)
1/3 入1台(YZ)(NEW)
1/7 入1台(YZ)(NEW)
1/9 入1台(YZ)(NEW)
2/25 入2台(YZ)(NEW)
3/27 入1台(YZ)(NEW)
4/8 入1台(YZ)(NEW)
7/2 入2台(YZ)(NEW)
9/25 入1台(YZ)(NEW)
9/30 入1台(YZ)(NEW)
12/18 入1台(YZ)(NEW)
6/23 入2台(YZ)(NEW)
8/28 入1台(YZ)(NEW)
9/10 入1台(YZ)(NEW)
21/4/8 入1台(YZ)(NEW)
4/20 入1台(YZ)(NEW)
5/3 入1台(YZ)(NEW)
5/4 入1台(YZ)(NEW)
10/1 入1台(YZ)(NEW)
10/4 入1台(YZ)(NEW)
10/14 入1台(YZ)(NEW)
10/15 入1台(YZ)(NEW)
10/26 入1台(YZ)(NEW)
22/3/28 入1台(YZ-#2508)
4/1 入1台(YZ-#2548)
6/2 入1台(LD-#2766)
6/8 入1台(LD-#2766)
7/1 入1台(LD-#2899)
7/11 入1台(LD-#2925)
7/12 入1台(LD-#2925)
guang:
24/8/2 入1台(LD-#4882)
8/8 入1台(LD-#4882)
10/29 入1台(LD-#5099)
12/5 入1台(LD-#5173)
12/9 入1台(LD-#5236)
001289:
25/1/21 入1台(LD-#5392)
26/1/9 入1台(#5099)(補)</t>
      </text>
    </comment>
    <comment ref="E9" authorId="0" shapeId="0">
      <text>
        <t xml:space="preserve">guang:
4/11 M6*1 ok(17M)
4/22 M6*1 ok(17M)
5/17 M6*1 ok(17M)
5/18 M6*1 ok(17M)
6/16 M6*1 ok(17M)
7/4M6*1ok(17M)(new)
7/13M6*1ok(17M)(new
8/10 M6*1OK(17米) 
9/8 M6*1OK(17米)
11/22 M6*1OK(17米)
1/10 M6*1ok(17M)(new)
1/11 M6*1ok(17M)(new)
1/29 M6*1ok(17M)(new)
3/5 M6*1ok(17M)(new)
3/27 M6*1ok(17M)(new)
5/8 M6*1ok(17M)(new)
5/9 M6*1ok(17M)(new)
5/17 包砂太多(退)(YZ)
6/1 M6*1ok(17M)(new)
6/4 M6*1ok(17M)(new)
6/23 M6*1 OK(17M)
7/23 M6*1 OK(17M)
7/24 M6*1 OK(17M)
9/27 M6*1 OK(17M)
10/1 M6*1 OK(17M)
10/17 M6*1 OK(17M)
10/18 M6*1 OK(17M)
10/22 M6*1 OK(17M)
12/26 M6*1 OK(17M)
12/28 M6*1 OK(17M)
1/29 M6*1 OK(17M)
1/31 M6*1 OK(17M)
2/12 M6*1 OK(17M)
2/13 M6*1 OK(17M)
5/2 M6*1 OK(17M)
6/25 M6*2 OK(408-M6-2)
7/3 M6*1 OK(17M)
7/29 M6*1 OK(409-M6-1)
8/6 M6*1 OK(408-M6-2)
8/12 M6*1 OK(409-M6-1)
10/16 背面包砂(報廢)
11/1 出1台(報廢-永棧)
11/12 入1台(報廢-永棧)
11/13 M6*1 OK(409-M6-1)
11/15 M6*1 OK(409-M6-1)
11/15 M6*1 OK(523-M6-2)
11/18 M6*1 OK(523-M6-2)
11/19 M6*1 OK(523-M6-2)
12/31 M6*1 OK(17M)
7/2 M6*1 OK(17M)
7/6 M6*1 OK(17M)
9/22 M6*1 OK(17M)
9/29 M6*1 OK(17M)
21/4/15 M6*1 OK(17M)
4/28 M6*1 OK(17M)
5/13 M6*1 OK(17M-報廢)
5/17 M6*1 OK(17M)
6/2 出1台(YZ載回)
10/6 M6*1 OK(17M-732)
10/8 M6*1 OK(17M-732)
11/8 M6*1 OK(17M-1735)
11/10 M6*1 OK(17M-1794)
11/13 M6*1 OK(17M-1798)
22/4/13 M6*1 OK(17M-#2548)
4/23 M6*1 OK(17M-#2508)
6/13 M6*1 OK(17M-#2766)
6/16 M6*1 OK(17M-#2766)
7/15 M6*1 OK(17M-#2899)
7/19 M6*1 OK(17M-#2925)
7/21 M6*1 OK(17M-#2925)
24/8/5 M6*1 OK(17M-#4882)
8/12 M6*1 OK(17M-#4882)
11/6 M6*1 OK(17M-#5099)
25/1/6 M6*1 OK(17M-#5173)
2/10 M6*1 OK(17M-#5236)
5/17 M6*1 OK(17M-#5392)
</t>
      </text>
    </comment>
    <comment ref="F9" authorId="2" shapeId="0">
      <text>
        <t xml:space="preserve">ralf:
4/17 M5*1OK(410)
5/4 M5*1 OK(410)
5/24 M5*1 OK(410)
5/26 M5*1 OK(410)
6/23 M5*1 OK(410)
7/11 M5*1 OK(409)
7/20 M5*1 OK(409)
8/18 M5*1 OK(409)
9/26 M5*1 OK(409)
11/30 M5*1 OK(409)
1/12 M5*1 OK(409)
1/16 M5*1 OK(409)
2/9 M5*1 OK(409)
3/9 M5*1 OK(409)
4/3 M5*1 OK(409)
5/14 M5*1 OK(409)
6/6 M5*1 OK(409)
6/8 M5*1 OK(409)
7/5 M5*1 OK(409)
8/10 M5*1 OK(813)
8/13 M5*1 OK(813)
10/11 M5*1 OK(409)
10/15 M5*1 OK(409)
10/26 M5*1 OK(409)
10/30 M5*1 OK(813)
11/1 M5*1 OK(409)
1/7 M5*1 OK(409)
1/9 M5*1 OK(409)
2/13 M5*1 OK(410)
2/15 M5*1 OK(410)
3/14 M5*1 OK(410)
3/19 M5*1 OK(410)
5/21 M5*1 OK(410)
7/1 M5*1 OK(813)
7/5 M5*1 OK(813)
7/10 M5*1 OK(813)
9/30 M5*1 OK(410)
11/27 M5*1 OK(410)-#1856
12/4 M5*1 OK(410)
12/11 M5*1 OK(410)
1/16 M5*1 OK(410)
7/14 M5*1 OK(410)
7/21 M5*1 OK(410)
11/26 M5*1 OK(410)
12/10 M5*1 OK(410)
21/5/10 M5*1 OK(410-H08000786)
5/19 M5*1 OK(410-H08000785)
5/24 M5*1 OK(410-000400000649)
10/13 M5*1 OK(410-000400000732)
10/19 M5*1 OK(410-000400000732)
11/18 M5*1 OK(410-000400001794)
11/24 M5*1 OK(410-000400001798)
12/7 M5*1 OK(410-000400001735)
22/5/3 M5*1 OK(410-000400002548)
5/6 M5*1 OK(410-000400002508)
7/6 M5*1 OK(410-000400002766)
7/12 M5*1 OK(410-000400002766)
7/26 M5*1 OK(410-000400002925)
8/4 M5*1 OK(410-000400002899)
8/8 M5*1 OK(410-000400002925)
guang:
24/8/12 M5*1 OK(410-#4882)
8/16 M5*1 OK(410-#4882)
11/14 M5*1 OK(410-#5099)
25/1/15 M5*1 OK(410-#5173)
2/27 M5*1 OK(410-#5236)
6/27 M5*1 OK(410-#5392)
</t>
      </text>
    </comment>
    <comment ref="G9" authorId="0" shapeId="0">
      <text>
        <t xml:space="preserve">guang:
2/23 出1台
4/6  出1台(三廠)
ralf:
4/27 研磨OK*1(7018)
5/9 出1台
6/7 研磨OK*1(7018)
6/8 研磨OK*1(7018)
6/16  出1台
6/30  出1台
7/4  出1台
7/25  出1台
7/27  出1台
7/31 研磨OK*1
8/8  出1台
9/7研磨OK*1
9/25  出1台
10/26  出1台
12/6  研磨OK*1
12/6  出1台
1/19  出1台
3/23 出1台
3/27 研磨OK*1
4/24 出1台(三廠)
7/25 出1台(三廠)
8/8 出1台(三廠)
9/3 出1台(三廠)
9/13 出1台(三廠)-5BC
9/14 出1台(三廠)
10/22 研磨OK*1
10/22 出1台(三廠)
10/23 研磨OK*1
10/23 出1台(三廠)
11/8 研磨OK*1
11/21 研磨OK*1
11/29 研磨OK*1-5BC
12/12 出1台(三廠)
12/14 出1台 (6路)-5BC
12/20 出1台(三廠)
2/1 研磨OK*2-5BC
3/14 研磨OK*1
3/25 出1台(三廠-HA19010901-5BC)
4/12 出1台(三廠-HA19021301)
5/7 研磨OK*1
5/7 出1台(三廠-HA19021502)
5/17 研磨OK*1
6/5 出1台(三廠-HA19010702-5BC)
6/5 研磨OK*1
6/14 研磨OK*1-5BC
6/17 出1台(三廠-HA19052102-5BC)
6/25 出1台(三廠-HA19031402)
7/19 出1台(三廠-HA19031901)
7/22 研磨OK*1-5BC
7/27 研磨OK*1-5BC
8/28 研磨OK*1
9/11 出1台(三廠-HA19070501-5BC)
10/31 研磨OK*1
1/2 研磨OK*1
1/15 出1台(三廠-HA19071002)
1/30 出1台(三廠-HA19093001)
2/7 研磨OK*1
2/26 研磨OK*1
4/14 研磨OK*1
6/3 出1台(本廠-HA19120401-機號:28132)
8/4 出1台(本廠-HA20011601-機號:28228)
8/18 出1台(三廠-HA19121101-機號:27906)
9/4 研磨OK*1
9/10 研磨OK*1
12/4 出1台(三廠-HA20072101-機號:27811)
12/17 出1台(三廠-HA20071401-機號:27767)(預開)
21/1/8 出1台(三廠-HA20071401-機號:100000183)
2/2 研磨OK*1
2/3 研磨OK*1
2/17 出1台(三廠-HA20121101-機號:100000354)
3/11 出1台(三廠-HA20112601-機號:100000279-H08000786)
內含2台5BC專用
5/18 研磨OK*1
5/19 出1台(三廠-HA21051001-100000764-H08000786)
6/2 研磨OK*2-H08000785*1,000400000649*1
6/21 出1台(三廠-HA21051801-100000721-H08000785)
12/1 研磨OK*1(000400000732)
12/14 出1台(三廠-HA21101301-100001368-000400000732)
12/23 研磨OK*1(000400000732)
22/1/5 出1台(三廠-HA21052401-100001364-000400000649)客制化
1/7 出1台(三廠-HA21101901-100001369-000400000732)
1/13 研磨OK*1(000400001794)
1/27 出1台(三廠-HA21111801-100001173-000400001794)
2/17 研磨OK*1(000400001735)
2/21 出1台(三廠-HA21120701-100001541-000400001735)
3/2 研磨OK*1(000400001798)
3/31 出1台(三廠-HA19070101-100001159-000400001744-5BC)
5/25 出1台(三廠-HA21112401-100001790-000400001798)
6/7 研磨OK*1(000400002548)
6/13 出1台(三廠-HA22050301-100001760-000400002548)
6/9 研磨OK*1(000400002508)
7/13 出1台(三廠-HA22050601-100001902-000400002508)
7/29 研磨OK*2(000400002766*2)
9/1 研磨OK*1(000400002925)
9/19 研磨OK*1(000400002899)
guang:
23/1/3 出1台(三廠-HA22070601-100002195-000400002766)
2/17 出1台(三廠-HA19112701-100001952-000400001856-5BC)
guang:
3/27 出1台(三廠-HA22072601-100002319-000400002925)
5/19 研磨OK*1(000400002925)
5/30 出1台(三廠-HA22080801-100002408-000400002925)
10/11 出1台(三廠-HA22071201-100002308-000400002766-5BC)
10/24 出1台(三廠-HA22080301-100002577-000400002899)
8/20 研磨OK*1(000400004882)
8/21 出1台(三廠-HA24081201-100002747-000400004882)
9/2 研磨OK*1(000400004882)
9/2 出1台(三廠-HA24081601-100002919-000400004882)
12/26 研磨NG*1(000400005099)
25/2/21 研磨OK*1(000400005173)
3/28 研磨OK*1(000400005236)
8/14 出1台(三廠-HA25011501-100003378-000400005173)
8/8 研磨OK*1(000400005392)
10/22 出1台(3廠-HA25062701-100003418-000400005392)
</t>
      </text>
    </comment>
    <comment ref="H9" authorId="1" shapeId="0">
      <text>
        <t>hsinwei:
12/26 研磨NG*1(000400005099)(斜面上端裂痕品管判定報廢)
26/1/8 出1台(#5099)</t>
      </text>
    </comment>
    <comment ref="C10" authorId="0" shapeId="0">
      <text>
        <t xml:space="preserve">guang:
3/27 入2台(JS)
3/30 入2台(JS)
4/5 入2台(YZ)
4/11 入1台(JS)
4/17入2(JS)
4/19 入1(JS)
11/9 入1台(YZ)
11/29 入1台(YZ)(新)
12/7 入1台(YZ)(新)
01/02 入1台(YZ)(new)
01/02 入1台(js)(new)
01/04 入1台(js)(new)
1/8 入1台(JS)(NEW)
1/8 入1台(YZ)(NEW)
1/11 入1台(JS)(NEW)
1/15 入1台(YZ)(NEW)
1/29 入1台(YZ)(NEW)
2/2 入1台(JS)(NEW)
2/5 入1台(JS)(NEW)
2/13 入2台(JS)(NEW)
2/21 入1台(YZ)(NEW)
3/12 入1台(JS)(NEW)
3/19 入2台(JS)(NEW)
3/23 入1台(JS)(NEW)
ralf:
5/16廣場盤點有3隻
guang:
5/23 入1台(JS)(NEW)
6/1 入1台(JS)(NEW)
6/13 入1台(JS)(NEW)
6/26 入1台(JS)(NEW)
10/23 入1台(JS)(NEW)(換)
11/22 入1台(YZ)(NEW)
11/27 入1台(YZ)(NEW)
12/12 入1台(YZ)(NEW)
12/13 入1台(YZ)(NEW)
12/19 入2台(YZ)(NEW)
2/18 入1台(YZ)(NEW)
2/21 入1台(YZ)(NEW)
2/26 入1台(YZ)(NEW)
3/4 入1台(YZ)(NEW)
3/8 入1台(YZ)(NEW)
3/15 入1台(YZ)(NEW)
6/6 入1台(JS)(NEW)
6/11 入1台(JS)(NEW)
7/2 入1台(YZ)(NEW)
7/3 入1台(YZ)(NEW)
7/15 入1台(JS)(NEW)
7/22 入1台(JS)(NEW)
1/10 入1台(YZ)(NEW)
3/25 入1台(YZ)(NEW)
5/5 入1台(YZ)(NEW)
5/11 入1台(YZ)(NEW)
6/10 入1台(YZ)(NEW)
9/18 入1台(YZ)(NEW)
10/5 入1台(YZ)(NEW)
10/21 入1台(YZ)(NEW)
11/20 入1台(YZ)(NEW)
11/27 入1台(YZ)(NEW)
12/2 入1台(YZ)(NEW)
21/6/30 入1台(YZ)(NEW)
7/8 入1台(YZ)(NEW)
7/14 入1台(YZ)(NEW)
7/26 入1台(YZ)(NEW)
8/4 入1台(YZ)(NEW)
12/13 入1台(YZ-2041)
22/1/4 入1台(YZ-1384)
1/7 入1台(YZ-2120)
2/7 入1台(YZ-2250)
2/15 入1台(JS-2082)
2/18 入1台(YZ-#2305)
3/3 入1台(JS-#2082)
3/8 入1台(JS-#2082)
3/11 入1台(JS-#2082)
24/5/6 入1台(LD-#4595)
5/23 入1台(LD-#4595)
5/30 入1台(LD-#4671)
6/3 入1台(LD-#4671)
10/16 入1台(LD-#5054)
guang:
2025/1/2 入2台(LD-#5346)
2/11 入1台(LD-#4671)(補)
2/17 入1台(LD-#5404)
2/18 入1台(LD-#5471)
2/20 入2台(LD-#5478)
guang:
</t>
      </text>
    </comment>
    <comment ref="E10" authorId="0" shapeId="0">
      <text>
        <t xml:space="preserve">guang:
3/13 M6*1 OK(17M)
3/14 M6*1 OK(17M)
4/13 M6*1 OK(17M)
5/8  M6*2 OK(17M)
5/20  M6*1 OK(17M)
6/14  M6*1 OK(17M)
6/15  M6*1 OK(17M)
7/14  M6*1 OK(17M)
7/20  M6*1 OK(17M)
11/14  M6*1 OK(17M)
12/11  M6*1 OK(17M)
12/13  M6*1 OK(17M)
1/12  M6*1 OK(17M)
1/24  M6*1 OK(17M)
1/25  M6*1 OK(17M)
1/26  M6*1 OK(17M)
2/23 M6*1 OK(17M)
3/5 M6*1 OK(17M)
3/14 M6*1 OK(17M)
3/26 M6*1 OK(17M)
3/27 M6*1 OK(17M)
4/9 M6*1 OK(17M)
4/10 M6*1 OK(17M)
4/11 M6*1 OK(17M)
4/26 M6*1 OK(17M)
4/27 M6*1 OK(17M)
5/4 M6*1 OK(17M)
5/5 M6*1 OK(17M)
6/29 M6*1 OK(17M)
7/11 M6*1 OK(17M)
7/12 M6*1 OK(17M)
7/13 M6*1 NG(17M)(翻鑄不良)
7/14 M6*1 OK(17M)
guang:
7/16 出1台(JS)(翻鑄不良)
8/31 M6*1 OK(17M)
9/3 M6*1 OK(17M)
11/01 M6*1 OK(17M)
12/13 M6*1 OK(17M)
12/14 M6*1 OK(17M)
12/17 M6*1 OK(17M)
1/8 M6*1 OK(17M)
1/9 M6*1 OK(17M)
1/10 M6*1 OK(17M)
1/14 M6*1 OK(17M)
3/15 M6*1 OK(17M)
3/16 M6*1 OK(17M)
3/26 M6*1 OK(17M)
3/27 M6*1 OK(17M)
3/28 M6*1 OK(17M)
4/30 M6*1 OK(17M)
7/19 M6*1 OK(523 M6-1)
7/22 M6*1 OK(523 M6-1)
7/23 M6*1 OK(523 M6-1)
7/24 M6*1 OK(523 M6-1)
7/23 M6*1 OK(408 M6-2)
7/25 M6*1 OK(523 M6-1)
7/26 M6*1 OK(408 M6-2)
10/15 M6*1 OK(17M)
1/21 M6*1 OK(17M)
4/20 M6*1 OK(17M)
5/12 M6*1 OK(17M)
5/13 M6*1 OK(17M)
8/3 M6*1 OK(17M)
10/6 M6*1 OK(17M)
10/8 M6*1 OK(17M)
11/2 M6*1 OK(17M)
12/3 M6*1 OK(17M)
12/8 M6*1 OK(17M)
12/10 M6*1 OK(17M)
21/7/2 M6*1 OK(17M)
7/16 M6*1 OK(17M-1184)
7/19 M6*1 OK(17M-1239)
7/29 M6*1 OK(17M-1265)
8/6 M6*1 OK(17M-1330)
12/27 M6*1 OK(17M-2041)
22/1/11 M6*1 OK(17M-1384)
1/13 M6*1 OK(17M-2120)
2/22 M6*1 OK(17M-2250)
2/24 M6*1 OK(17M-2305)
2/26 M6*1 OK(17M-2082)
3/7 M6*1 OK(17M-2082)
3/22 M6*1 OK(17M-2082)
5/7 M6*1 OK(17M-2082)
24/5/15 M6*1 OK(17M-#4595)
5/30 M6*1 OK(17M-#4595)
6/18 M6*1 OK(17M-#4671)
10/22 M6*1 OK(17M-#5054)
25/1/9 M6*1 OK(17M-#5346)
1/13 M6*1 OK(17M-#5346)
2/24 M6*1 OK(17M-#4671)
2/26 M6*1 OK(17M-#5478)
7/4 M6*1 OK(17M-#5404)
7/9 M6*1 OK(17M-#5471)
</t>
      </text>
    </comment>
    <comment ref="F10" authorId="0" shapeId="0">
      <text>
        <t xml:space="preserve">guang:
4/6  M5*1 OK(410)
4/21  M5*1 OK(410)
5/10  M5*1 OK(410)
5/12  M5*1 OK(410)
6/8  M5*1 OK(410)
6/19  M5*1 OK(410)
6/21  M5*1 OK(410)
8/4  M5*1 OK(409)
8/8  M5*1 OK(409)
8/11  M5*1 OK(409)
11/20 M5*1 OK(409)
12/15 M5*1 OK(409)
12/19 M5*1 OK(409)
1/18 M5*1 OK(409)
1/31 M5*1 OK(410)
2/22 M5*1 OK(409)
2/24 M5*1 OK(409)
3/7 M5*1 OK(409)
3/15 M5*1 OK(409)
3/22 M5*1 OK(409)
3/29 M5*1 OK(409)
3/31 M5*1 OK(409)
4/18 M5*1 OK(409)
4/20 M5*1 OK(409)
5/4 M5*1 OK(409)
5/8 M5*1 OK(409)
5/10 M5*1 OK(409)
5/16 M5*1 OK(409)
5/18 M5*1 OK(409)
7/11 M5*1 OK(409)
7/19 M5*1 OK(409)
7/23 M5*1 OK(409)
7/25 M5*1 OK(409)
9/6 M5*1 OK(409)
9/10 M5*1 OK(409)
12/12 M5*1 OK(409)
12/25 M5*1 OK(409)
12/28 M5*1 OK(409)
1/4 M5*1 OK(409)
1/14 M5*1 OK(409)
1/16 M5*1 OK(409)
1/23 M5*1 OK(410)
1/26 M5*1 OK(410)
3/26 M5*1 OK(410)
4/9 M5*1 OK(410)
4/12 M5*1 OK(410)
4/16 M5*1 OK(410)
4/19 M5*1 OK(410)
5/17 M5*1 OK(410)
8/13 M5*1 OK(813)
8/21 M5*1 OK(813)
8/29 M5*1 OK(813)
10/22 M5*1 OK(410)
10/30 M5*1 OK(410)
11/6 M5*1 OK(410)
2/14 M5*1 OK(410)
5/15 M5*1 OK(410)
5/22 M5*1 OK(410)
5/28 M5*1 OK(410)
8/14 M5*1 OK(410)
10/28 M5*1 OK(410)
11/4 M5*1 OK(410)
11/19 M5*1 OK(410)
12/17 M5*1 OK(410)
12/24 M5*1 OK(410)
12/30 M5*1 OK(410)
21/7/9 M5*1 OK(410-H08000768)
7/23 M5*1 OK(410-000400001184)
7/29 M5*1 OK(410-000400001239)
8/6 M5*1 OK(410-000400001265)
8/13 M5*1 OK(410-000400001330)
22/1/10 M5*1 OK(410-000400002041)
1/19 M5*1 OK(410-000400001384)
1/25 M5*1 OK(410-000400002120)
3/4 M5*1 OK(410-000400002305)
3/9 M5*1 OK(410-000400002082)
3/14 M5*1 OK(410-000400002082)
3/17 M5*1 OK(410-000400002250)
4/7 M5*1 OK(410-000400002082)
5/19 M5*1 OK(410-000400002082)
24/5/27 M5*1 OK(410-000400004595)
6/12 M5*1 OK(410-000400004595)
7/3 M5*1 OK(410-000400004671)
10/29 M5*1 OK(410-000400005054)
25/2/8 M5*1 OK(410-000400005346)
2/14 M5*1 OK(410-000400005346)
3/10 M5*1 OK(410-000400005478)
3/18 M5*1 OK(410-000400004671)
7/10 M5*1 OK(410-000400005478)
7/16 M5*1 OK(410-000400005404)
7/24 M5*1 OK(410-000400005471)
</t>
      </text>
    </comment>
    <comment ref="G10" authorId="0" shapeId="0">
      <text>
        <t xml:space="preserve">guang:
4/24 出1台(三廠)
5/10 出1台(三廠)
5/11 出1台(三廠)
6/4 出1台(三廠)
6/12 出1台(三廠)
6/22 出1台 (三廠)
6/29 出1台 (三廠)
7/3 研磨OK*1(7018)
7/3 出1台 (三廠)
7/6 出1台 (三廠)
8/6 研磨OK*1(7018)
8/10 出1台 (三廠)
8/22 出1台 (三廠)
8/29 出1台 (三廠)
9/6 出1台 (三廠)
9/19 出1台 (三廠)
10/9 出1台 (三廠)
10/15 研磨OK*1
12/3 出1台 (三廠)
12/22 出1台 (三廠-HA18090601)
12/24 出1台 (三廠-HA18091001)
1/8 研磨OK*1
1/8 出1台 (三廠-HA18121201)
1/10 研磨OK*1
1/10 出1台 (三廠-HA18111901)
1/22 研磨OK*1
2/12 研磨OK*1
2/15 出1台 (三廠-HA18122501)
2/22 出1台 (三廠-HA19010402)
3/6 研磨OK*1
3/6 出1台 (三廠-HA19011401)
2/26 研磨OK*1
3/6 出1台 (三廠-HA19011602)
3/14 研磨OK*1
3/15 研磨OK*1
3/27 出1台 (三廠-HA19012501)
4/30 出1台 (三廠-HA19012301)
5/24 研磨OK*1
5/31 出1台 (三廠-HA19041201)
6/6 研磨OK*1
6/6 出1台 (三廠-HA19041602)
6/19 研磨OK*1
7/29 出1台 (三廠-HA19041902)
8/8 研磨OK*1
8/29 出1台 (三廠-HA19032602)
9/4 研磨OK*1
9/10 研磨OK*1
9/18 研磨OK*1
9/24 研磨OK*1
10/23 出1台 (三廠-HA19082901)
11/11 出1台 (三廠-HA19040901)
11/19 出1台 (三廠-HA19051701)
11/25 研磨OK*1
11/28 研磨OK*1
12/12 研磨OK*1
1/3 出1台 (三廠-HA19081201)
4/6 研磨OK*1
4/13 出1台 (三廠-HA19082101-28059)
4/17 出1台 (三廠-HA19110601-27007)
4/29 出1台 (三廠-HA20021401-28062)
4/23 研磨OK*1
6/10 研磨OK*1
7/7 出1台 (三廠-HA19103001-28131)
7/7 研磨OK*1
7/9 研磨OK*1
8/18 出1台 (三廠-HA19102201-27770)
8/28 出1台 (三廠-HA20052201-28262)
9/9 出1台 (三廠-HA20052801-27835)
11/5 出1台(三廠-HA20051501-機號:28335)
11/9 研磨OK*1
11/13 出1台(三廠-HA20081401-機號:28336)
12/2 研磨OK*1
12/3 出1台(三廠-HA20102901-機號:28291)
12/3 研磨OK*1
12/8 出1台(三廠-HA20110501-機號:27954)
12/21 研磨OK*1
21/1/13 出1台(三廠-HA20111901-機號:100000096)
1/21 研磨OK*1
2/20 研磨OK*1
3/8 研磨OK*1
3/16 出1台(三廠-HA20122401-機號:100000182)
4/21 出1台(三廠-HA20121701-機號:100000424)
7/14 出1台(三廠-HA20123001-100000554-H08000770)
7/30 研磨OK*1
8/2 出1台(三廠-HA21070901-100000468-H08000768)
8/23 研磨OK*1(000400001184)
8/31 研磨OK*1(000400001239)
9/28 出1台(三廠-HA21072301-100001130-000400001184)
9/24 研磨OK*1(000400001330)
10/12 出1台(三廠-HA21081301-100000892-000400001330)
10/14 出1台(三廠-HA21072801-100000816-000400001239)
10/15 研磨OK*1(000400001265)
22/4/19 研磨OK*2(000400002041，2082)
4/20 研磨OK*1(000400002120)
4/25 研磨OK*1(000400001384)
7/6 出1台(三廠-HA21080601-100001891-000400001265)
6/29 研磨OK*1(000400002082)
8/9 出1台(三廠-HA22051901-100001968-000400002082)-100001737取消物料賢已吊走已扣除
8/5 研磨OK*1(000400002082)-預計配#2493
001289:
12/5 研磨OK*1(000400002082)
guang:
23/1/9 研磨OK*1(000400002082)
3/13 出1台(三廠-HA22030901-100002356-000400002082)
3/24 研磨OK*1(000400002250)
6/7 出1台(三廠-HA22031401-100002437-000400002082)
guang:
6/29 出1台(三廠-HA22012501-100002458-000400002120)
7/20 出1台(三廠-HA22031701-100002411-000400002250)
8/15 出1台(三廠-HA22011901-100002617-000400001384)
8/15 研磨OK*1(000400002305)
24/1/4 出1台(本廠-HA22011001-100002041-000400002616)
4/2 出1台(三廠-HA22040701-100002493-000400002082)
guang:
4/11 出1台(三廠-HA22030401-100002829-000400002305)
6/7 研磨OK*1(000400004595)
6/11 出1台(三廠-HA24052701-100002761-000400004595)
guang:
6/20 研磨OK*1(000400004595)
6/24 出1台(放裝三000400004595)(已入帳)
guang:
8/2 研磨OK*1(000400004671)
11/4 出1台(放裝三000400004595)
guang:
11/11 出1台(三廠-HA24070301-100002948-000400004671)
12/9 研磨OK*1(000400005054)
12/16 出1台(三廠-HA24102901-100003035-000400005054)
25/3/5 研磨OK*1(000400005346)
3/20 研磨OK*1(000400005346)
4/15 研磨OK*1(000400004671)
4/21 研磨OK*1(000400005478)
5/19 出1台(三廠-HA25021401-100003290-000400005346)
8/7 研磨OK*1(000400005478)
hsinwei:
8/18 研磨OK*1(000400005471)
9/4 研磨OK*1(000400005404)
001280:  
</t>
      </text>
    </comment>
    <comment ref="J10" authorId="0" shapeId="0">
      <text>
        <t xml:space="preserve">guang:
 出1台(三廠-HA22040701-100002493-000400002082)
</t>
      </text>
    </comment>
    <comment ref="K10" authorId="2" shapeId="0">
      <text>
        <t xml:space="preserve">ralf:
2019/3/7入2支
guang:
3/15 出1支
guang:
6/17 NG*1(#4671-支撐機構破孔)
guang:
24/8/2 載走( LD-#4671)
</t>
      </text>
    </comment>
    <comment ref="L10" authorId="2" shapeId="0">
      <text>
        <t xml:space="preserve">ralf:
2019/3/7入2支
guang:
3/15 出1支
</t>
      </text>
    </comment>
    <comment ref="C11" authorId="0" shapeId="0">
      <text>
        <t>guang:
6/12 入1台(YZ)
6/15 入1台(YZ)(NEW)
6/16 入1台(YZ)(NEW)
9/18 入1台(YZ)(NEW)
9/28 入1台(YZ)(NEW)
10/23 入1台(YZ)(NEW)
10/30 入1台(YZ)(NEW)
12/21 入1台(YZ)(NEW)
4/16 入1台(YZ)(NEW)
4/17 入1台(YZ)(NEW)
5/8 入1台(YZ)(NEW)
6/7 入1台(YZ)(NEW)
6/12 入1台(YZ)(NEW)
6/14 入1台(YZ)(NEW)
7/26 入1台(YZ)(NEW)
8/3 入1台(YZ)(NEW)
8/29 入1台(YZ)(NEW)
12/12 入1台(YZ)(NEW)
1/2 入1台(YZ)(NEW)
1/3 入1台(YZ)(NEW)
1/7 入1台(YZ)(NEW)
2/14 入1台(YZ)(NEW)
2/15 入1台(YZ)(NEW)
3/26 入1台(YZ)(NEW)
3/28 入1台(YZ)(NEW)
9/3 入2台(YZ)(NEW)
12/2 入1台(YZ)(NEW)
1/13 包砂*1(退回處理-YZ)
1/15 入1台(處理完成-YZ)
3/11 入1台(YZ)(NEW)
3/26 入1台(YZ)(NEW)
6/4 入1台(YZ)(NEW)
6/29 入1台(YZ)(NEW)
7/1 入1台(YZ)(NEW)
7/6 入1台(YZ)(NEW)
11/8 入1台(YZ)(NEW)
11/15 入2台(YZ)(NEW)
12/7 入1台(YZ-#2010)
22/2/23 入1台(YZ-#2348)
3/10 入1台(YZ-#2408)
4/12 入1台(LD-#2348-換)
5/3 入1台(LD-#2669)
5/9 入1台(LD-#2614)
5/16 入1台(LD-#2756)
7/25 入1台(LD-#2973)
8/31 入1台(LD-#2756-換)
23/7/25 入1台(LD-#3722)
8/9 入1台(LD-#3758)
guang:
24/5/8 入1台(LD-#3758-換)
7/4 入1台(LD-#4778)
12/4 入1台(LD-#5214)
12/5 入1台(LD-#5264)
12/10 入1台(LD-#5264)
25/1/20 入1台(LD-#5393)
3/4 入1台(LD-#5510)
3/13 入1台(LD-#5525)
6/4 入1台(LD-#5783)
7/21 入1台(LD-#5864)
12/8 入1台(LD-#6089)
12/10 入2台(LD-#6090)
26/1/7 入1台(LD-#6141)</t>
      </text>
    </comment>
    <comment ref="E11" authorId="0" shapeId="0">
      <text>
        <t>guang:
7/24 M6*1 OK(17M)
7/25 M6*1 OK(17M)
7/26 M6*1 OK(17M)
10/3 M6*1 OK(17M)
10/27 M6*1 OK(17M)
10/31 M6*1 OK(17M)
11/9 M6*1 OK(17M)
5/18 M6*1 OK(17M)
5/19 M6*1 OK(17M)
5/22 M6*1 OK(17M)
7/2 M6*1 OK(17M)
7/4 M6*1 OK(17M)
8/16 M6*1 OK(17M)
8/17 M6*1 OK(17M)
8/20 M6*1 OK(17M)
9/4 M6*1 OK(17M)
10/2 M6*1 OK(17M)
10/4 M6*1 OK(17M)
10/25加工錯誤(M5-X偏10mm)
4/12 M6*1 OK(17M)
4/16 M6*1 OK(17M)
6/17 M6*2 OK(408-M6-2)
7/3 M6*3 OK(408-M6-2)
11/19 M6*1 OK(409-M6-1)
11/20 M6*1 OK(523-M6-2)
11/25 M6*1 OK(17M)
2/7 M6*1 OK(17M)
4/16 M6*1 OK(17M.408)
4/23 M6*1 OK(17M)
7/14 M6*1 OK(17M)
7/17 M6*1 OK(17M)
7/23 M6*1 OK(17M)
8/10 M6*1 OK(17M)
11/19 M6*1 OK(17M-1907)-NG
11/24 M6*1 OK(17M-1947)-NG
12/13 M6*1 OK(17M-2010)
12/21 M6*1 OK(17M-1947)
22/1/17 入(磨開入料)OK
5/16 M6*1 OK(17M-#2408)
6/22 M6*1 OK(17M-#2348-換)
8/5 M6*1 OK(17M-#2973)
8/16 M6*1 OK(17M-#2614)
8/30 M6*1 OK(17M-#2669)
001289:
11/29 M6*1 OK(17M-#2756)
23/8/15 M6*1 OK(17M-#3758)
guang:
24/1/16 M6*1 OK(17M-#3722)
5/22 M6*1 OK(17M-#3758-換)
7/11 M6*1 OK(17M-#4778)
12/6 M6*1 OK(17M-#5214)
12/11 M6*1 OK(17M-#5214)
12/13 M6*1 OK(17M-#5214)
25/2/6 M6*1 OK(17M-#5393)
3/13 M6*1 OK(17M-#5510)
5/13 M6*1 OK(17M-#5525)
6/20 M6*1 OK(17M-#5783)
7/24 M6*1 OK(17M-#5864)
12/11 M6*1 OK(17M-#6089)
12/18 M6*1 OK(17M-#6090)
12/23 M6*1 OK(17M-#6090)</t>
      </text>
    </comment>
    <comment ref="F11" authorId="2" shapeId="0">
      <text>
        <t>ralf:
支撐機構噴補X1待判 OK
8/15 M5*1 OK(409)
8/29 M5*1 OK(409)
8/31 M5*1 OK(409)
10/6 M5*1 OK(409)
11/3 M5*1 OK(409)
11/16 M5*1 OK(409)
1/10 M5*1 OK(409)
5/23 M5*1 OK(409)(5130L)
5/25 M5*1 OK(409)(5130L)
5/28 M5*1 OK(409)(5130L)
7/9 M5*1 OK(409)(5130L)
7/13 M5*1 OK(409)(5130L)
8/27 M5*1 OK(409)(5130L)
8/29 M5*1 OK(409)(5130L)
8/31 M5*1 OK(409)(5130L)
9/13 M5*1 OK(409)(5130L)
10/17 M5*1 OK(409)(5130L)
11/13 M5*1 OK(409)(5130L-線軌偏10mm)
4/25 M5*1 OK(409)(5130L)
5/2 M5*1 OK(409)(5130L)
7/16 M5*1 OK(813)(5130L)
7/18 M5*1 OK(410)(5130L)
7/19 M5*1 OK(813)(5130L)
7/24 M5*1 OK(410)(5130L)
guang:
8/1 M5*1 OK(410)(5130L)
12/3 M5*1 OK(410)(5130L)
12/12 M5*1 OK(410)(5130L)
3/3 M5*1 OK(410)(5130L)
4/28 M5*1 OK(410)(5130L)
5/6 M5*1 OK(410)(5130L)
8/21 M5*1 OK(410)(5130L)
8/28 M5*1 OK(410)(5130L)
9/4 M5*1 OK(410)(5130L)
9/10 M5*1 OK(410)(5130L)
12/13 M5*1 NG(410-砂孔)-#1907
12/15 M5*1 NG(410-砂孔)-#1947
12/16 載回1台(M5B270包砂-NG-#1907
22/1/14 載回1台(M5B270包砂-NG-#1947
2/7 M5*1 OK(410-#1947)(5130L)
2/12 M5*1 OK(410-#2010)(5130L)
3/23 M5*1 OK(410-#1947)(5130L)
5/24 M5*1 OK(410-#2408)(5130L)
8/12 M5*1 OK(410-#2348)(5130L)
8/17 M5*1 OK(410-#2973)(5130L)
9/12 M5*1 OK(410-#2614)(5130L)
10/18 M5*1 OK(410-#2669)(5130L)
001289:
12/8 M5*1 OK(410-#2756)(5130L)
guang:
24/3/26 M5*1 OK(410-#3722)(5130L)
6/4 M5*1 OK(410-#3758)(5130L)
7/17 M5*1 OK(410-#4778)(5130L)
12/16 M5*1 OK(410-#5214)(5130L)
12/23 M5*1 OK(410-#5264)(5130L)
12/31 M5*1 OK(410-#5264)(5130L)
25/2/21 M5*1 OK(410-#5393)(5130L)
3/27 M5*1 OK(410-#5510)(5130L)
6/20 M5*1 OK(410-#5525)(5130L)
7/4 M5*1 OK(410-#5783)(5130L)
8/14 M5*1 OK(410-#5864)(5130L)
12/18 M5*1 OK(410-#6089)(5130L)
12/26 M5*1 OK(410-#6090)(5130L)
26/1/5 M5*1 OK(410-#6090)(5130L)</t>
      </text>
    </comment>
    <comment ref="G11" authorId="0" shapeId="0">
      <text>
        <t>guang:
11/1 研磨OK*1
1/5 出1台(三廠)
1/11 出1台(三廠)
2/14 出1台(三廠)
2/22 出1台(三廠)
3/21 出1台(三廠)
4/27 出1台(三廠)
7/13 出1台(三廠)
7/17 出1台(三廠)
8/15 出1台(三廠)
8/17 出1台(三廠)
9/10 出1台(三廠)
102  研*1 OK
11/01 出1台(三廠)
11/15 研磨OK*1
11/20 研磨OK*1(光學尺)
11/20 出1台(三廠)(光學尺)
3/14 出1台(三廠-HA18070901)
3/18 研磨OK*1
3/18 出1台(三廠-HA18101702)
3/20 出1台(三廠-HA18082801)
4/19 出1台(三廠-HA18111301)
4/17 研磨OK*1
4/23 出1台(三廠-HA18011002-5BC)
5/10 研磨OK*1
6/28 出1台(三廠-HA18091201)
7/9 研磨OK*1
7/10 出1台(三廠-HA19050201)
7/17 研磨OK*1
7/31 出1台(三廠-HA19042401)
7/16 研磨OK*1(退磨-已開單)
8/20 研磨OK*1
8/20 出1台(三廠-HA19071802)
8/22 研磨OK*1
8/26 研磨OK*1
8/27 研磨OK*1
9/9 出1台(三廠-HA19071801)
9/30 出1台(三廠-HA19072401)
10/22 研磨OK*1
2/3 出1台(三廠-HA19080101)
2/11 出1台(三廠-HA19071901)
2/14 研磨OK*1
2/14 出1台(三廠-HA19120301)
2/25 研磨OK*1
3/13 出1台(三廠-HA15031301-退磨-已開單)
3/20 出1台(三廠-HA19121201)
4/9 研磨OK*1
6/3 研磨OK*1
8/11 研磨OK*1
10/27 研磨OK*2
10/29 研磨OK*1
21/5/24 出1台(三廠-HA20090401-100000645)
6/2 出1台(三廠-HA20050601-100000712)
7/28 出1台(三廠-HA20042801-100000742)
9/6 出1台(三廠-HA20082801-100000587)
10/12 出1台(三廠-HA20091001-100000817-000400001776)
12/8 研磨OK*1
22/1/22 出1台(三廠-HA20082101-100001255-000400001776)
2/8 出1台(三廠-HA20030301-100000955-000400001776)
3/15 研磨OK*2(#1947,#2010)
5/13 研磨OK*1(#1947)
6/29 研磨OK*1(#2408)
7/15 出1台(三廠-HA22021201-100001931-000400002010)
10/31 出1台(三廠-HA22032301-100001823-000400001947)
001289:
11/10 研磨OK*1(#2614)
guang:
12/5 出1台(三廠-HA22091201-100002145-000400002614)
23/2/20 出1台(三廠-HA22020701-100002221-000400001947)
3/21 出1台(三廠-HA22052401-100002220-000400002408)
4/11 研磨OK*1(#2348)
4/14 出1台(三廠-HA23041101-100002302-000400002348)
5/8 研磨OK*1(#2669)
5/10 研磨OK*1(#2973)
5/15 研磨OK*1(#2756)
5/18 出1台(三廠-HA22101801-100002297-000400002669)
6/8 出1台(三廠-HA22081701-100002254-000400002973)
9/25 出1台(三廠-HA22120801-100002465-000400002756)
24/5/8 研磨OK*1(#3722)
5/29 出1台(三廠-HA24032601-100002804-000400003722)
6/14 研磨OK*1(#3758)
6/17 出1台(三廠-HA24060401-100002805-000400003758)
7/23 研磨OK*1(#4778)
7/23 出1台(三廠-HA24071701-100002834-000400004778)
25/1/2 研磨OK*1(#5214)
1/6 出1台(三廠-HA24121401-100003051-000400005214)
1/13 研磨OK*1(#5264)
1/24 出1台(三廠-HA24122301-100003089-000400005264)
2/6 研磨OK*1(#5264)
3/24 出1台(三廠-HA24123101-100003185-000400005264)
3/31 研磨OK*1(#5393)
guang:
4/18 出1台(三廠-HA25022101-100003186-000400005393)(轉去100003320-HSA627EAY使用)
5/8 研磨OK*1(#5510)
6/16 出1台(三廠-HA25032701-100003310-000400005510)
7/4 研磨OK*1(#5525)
8/12 研磨OK*1(#5783)
hsinwei:
9/4出1台(三廠-HA25070401-100003314-000400005783)
001280
9/9 研磨OK*1(#5864)
11/20 出1台(三廠-HA25062001-100003370-000400005525)
12/2 出1台(三廠-HA25081301-100003407-000400005864)
12/29 研磨OK*1(#6089)
26/1/5 出1台(三廠-HA25121801-100003410-000400006089)
1/8 研磨OK*1(#6090)
1/9 出1台(三廠-HA25122601-100003446-000400006090)</t>
      </text>
    </comment>
    <comment ref="K11" authorId="0" shapeId="0">
      <text>
        <t xml:space="preserve">guang:
22/3/2 M6*1 NG(#2348-M6包砂)
3/28 出1台( LD載走-#2348)
5/27 M6*1 NG(#2756-M6包砂)
6/7 出1台( LD載走-#2756)
guang:
23/8/10 M6*1 NG(#3722-M6包砂-救援成功)
10/2 M5*1 NG(#3758-結合面孔內包砂)
guang:
24/5/6 出1台( LD載走-#3758)
</t>
      </text>
    </comment>
    <comment ref="C12" authorId="2" shapeId="0">
      <text>
        <t xml:space="preserve">ralf:
11/29 楊鋼入1
9/27 楊鋼入1
10/23 入1PS(YK)
5/21 入1台(YK)(NEW)
6/15 入1台(YK)(NEW)
1/8 入1台(YK)(NEW)
1/30 入1台(YK)(NEW)
1/31 入1台(YK)(NEW)
2/22 入1台(YK)(NEW)
10/29 入1台(YK)(NEW)
11/16 入1台(YK)(NEW)
21/4/28 入2台(YK)(NEW)
6/17 入2台(YK)(NEW)
7/14 入1台(YK)(NEW)
11/3 入1台(YK-1064)(補件)
22/2/18 入1台(YK-718)(補件)
</t>
      </text>
    </comment>
    <comment ref="E12" authorId="0" shapeId="0">
      <text>
        <t xml:space="preserve">guang:
6/1 M6*1 OK(17M)
10/17 M6*1 OK(17M)
11/10 M6*1 OK(17M)
10/24 M6*1 OK(17M)
10/25 M6*1 OK(17M)
1/24 M6*1 OK(17M)
2/19 M6*1 OK(17M)
2/20 M6*1 OK(17M)
11/6 M6*1 OK(17M)
11/4 M6*1 OK(17M)
11/20 M6*1 OK(17M)
21/5/19 M6*1 OK(17M)
5/21 M6*1 OK(17M)
7/21 M6*1 OK(17M-718)
7/28 M6*1 OK(17M-1064)-砂孔報廢*1
8/30 出1台( YK-載回-砂孔-1064)
12/30 M6*1 OK(17M-#1064)
22/6/9 M6*1 OK(17M-#718-補件)
</t>
      </text>
    </comment>
    <comment ref="F12" authorId="0" shapeId="0">
      <text>
        <t xml:space="preserve">guang:
6/6 M5*1 OK(410)
10/26 M5*1 OK(410)
1/4 M5*1 OK(409)
11/8 M5*1 OK(409)
12/07 M5*1 OK(409)
1/31 M5*1 OK(410)
2/26 M5*1 OK(410)
3/5 M5*1 OK(410)
11/19 M5*1 OK(410)
11/13 M5*1 OK(410)
12/4 M5*1 OK(410)
21/5/27 M5*1 OK(410-H08000801)
6/1 M5*1 OK(410-H08000801)
10/7 M5*1 OK(410-000400001064)
9/24 出1台( YK-載回-結合面包砂-718)
22/1/14 M5*1 OK(410-000400001064)
10/11 M5*1 OK(410-000400000718)
</t>
      </text>
    </comment>
    <comment ref="G12" authorId="0" shapeId="0">
      <text>
        <t xml:space="preserve">guang:
1/4出1PS
1/19出1PSralf:
6/23 研磨OK*1(7018)
7/21 出1台
3/29 出1台(3廠)
12/6 研磨OK*1
12/22 出1台(3廠-HA18010402)
1/2 出1台(3廠-HA17102602)
1/3 研磨OK*1
1/17 出2台(3廠-HA18110801,18120701)
1/3 研磨OK*1
2/23 出1台(3廠-HA19013101)
3/18 研磨OK*1
3/20 研磨OK*1
4/10 出1台(3廠-HA19030501)
11/29 出1台(3廠-HA1902601)
1/15 研磨OK*1
8/13 出1台(3廠-HA19111901-機號:28232)
11/30 研磨OK*1
12/1 出1台(3廠-HA20111301-機號:28328)
2021/1/4 研磨OK*1
1/4 出1台(3廠-HA20120401-機號:28339)
6/16 研磨OK*1(H08000801)
7/26 研磨OK*1(H08000801)
22/5/11 研磨OK*1(000400001064)
6/8 出1台(3廠-HA21060101-100001744-H08000801)
23/4/14 研磨OK*1(000400000718)
7/7 出1台(3廠-HA21052701-100002466-H08000801)
22/1/18 研磨OK*1(000400001064)
25/4/18 出1台(3廠-HA22101101-100003172-000400000718)
</t>
      </text>
    </comment>
    <comment ref="C13" authorId="0" shapeId="0">
      <text>
        <t xml:space="preserve">guang:
11/13 入2台(加政轉)(OLD)
3/20 入1台(YK)(OLD)
3/22 入1台(YK)(OLD)
3/26 入1台(YK)(OLD)
3/30 入1台(YK)(OLD)
4/10 入1台(YK)(OLD)
guang:
4/11 出2台(轉加政加工                   5/2 入1台(YK)(OLD)
6/15 入1台(YK)(OLD)
guang:
24/9/11 入1台(YK-#4975)
入錯料-9/23 加工發現
9/24 出1台(YK-#4975-送錯機型)
10/22 入1台(YK-#4975)-換
guang:
</t>
      </text>
    </comment>
    <comment ref="E13" authorId="0" shapeId="0">
      <text>
        <t xml:space="preserve">guang:
11/15 M6*1 OK(17M)
11/17 M6*1 OK(17M)
5/24 M6*1 OK(17M)
6/25 M6*1 OK(17M)
7/5 M6*1 OK(17M)
10/26 M6*1 OK(17M)
10/31 M6*1 OK(17M)
guang:
24/10/25 M6*1 OK(17M-#4975)
</t>
      </text>
    </comment>
    <comment ref="F13" authorId="0" shapeId="0">
      <text>
        <t xml:space="preserve">guang:
11/24 M5*1 OK(409)
1/8 M5*1 OK(409)
5/31 M5*1 OK(409)-H08000803
7/3 M5*1 OK(409)-H08000803
7/17 M5*1 OK(409)-H08000803
11/7 M5*1 OK(813)
12/19 M5*1 OK(409)
guang:
24/11/28 M5*1 OK(410-#4975-OLD版)
</t>
      </text>
    </comment>
    <comment ref="G13" authorId="0" shapeId="0">
      <text>
        <t>guang:
1/30 出1台(三廠)
3/31 出1台(三廠)
6/21 出1台(三廠)
10/19 研*1 OK-H08000803
5/7 研*1 OK-H08000803
9/2 研*1 OK-H08000803
21/5/13 出1台(三廠-HA18121901-100000590)
23/8/7 出1台(三廠-HA18110701-100002490)
9/14 出1台(三廠-HA18053101-H08000803-100002503)
guang:
24/7/11  出1台(三廠-HA18070301-100002841-#4764)(H08000803)
11/4  出1台(三廠-HA18071702-100002929-#5108)(H08000803)
25/5/28 研*1 OK-(000400004975)
11/4  出1台(三廠-HA24112701-100003360-#4975)</t>
      </text>
    </comment>
    <comment ref="C14" authorId="0" shapeId="0">
      <text>
        <t xml:space="preserve">guang:
3/10 入1台(YZ)(特殊6550L)
3/13 入1台(YZ)
4/13 永棧入1
4/28 入1台(YZ)
7/14 入1台(YZ)(NEW)
8/17 入1台(YZ)(NEW)
guang:
8/28 入1台(YZ)(NEW)
9/4 入1台(YZ)(NEW)
11/20 入1台(YZ)(特殊6550L)(NEW)
11/24 入1台(YZ)(NEW)
12/5入1台(YZ)(NEW)
12/18入1台(YZ)(NEW)
12/19入1台(YZ)(NEW)
1/18入1台(YZ)(NEW)
1/23入1台(YZ)(NEW)
1/31入1台(YZ)(NEW)
3/20 入1台(YZ)(NEW)
4/2 出2台(轉隆升加工)
4/9 出3台(轉隆升加工)
guang:
22/6/20 入1台(LD-#2873)
7/1 入1台(LD-#2873)
8/19 入1台(LD-#3064)(2)
9/2 入1台(LD-#3064)
25/9/1 入1台(LD-#5951)
</t>
      </text>
    </comment>
    <comment ref="E14" authorId="0" shapeId="0">
      <text>
        <t xml:space="preserve">guang:
3/22 M6*1 OK(特殊6550L)
4/14 M6*1OK (17m)
5/19 M6*1OK (17m)
7/18 M6*1OK (17m)
8/22 M6*1OK (17m)
9/6 M6*1OK(17M)
9/12 M6*1OK(17M)
12/7 M6*1 OK(17M)
12/9 M6*1 OK(17M)
3/30 M6*1 OK(17M)
22/6/25 M6*1 OK(17M-#2873)
7/12 M6*1 OK(17M-#2873)
8/26 M6*1 OK(17M-#3064)
9/12 M6*1 OK(17M-#3064)
25/9/5 M6*1 OK(17M-#5951)
</t>
      </text>
    </comment>
    <comment ref="F14" authorId="0" shapeId="0">
      <text>
        <t xml:space="preserve">guang:
3/30 M5*1 OK(特殊6550L)
4/25 M5*1 OK(410)
6/1 M5*1 OK(410)
7/24 M5*1 OK(409)
7/25 M5*1 OK(409)
9/16 M5*1 OK(409)
9/20 M5*1 OK(409)
12/12 M5*1 OK(409)
12/15 M5*1 OK(813)
4/13 M5*1 OK(409)
22/7/1 M5*1 OK(410-#2873)
7/18 M5*1 OK(410-#2873)
9/2 M5*1 OK(410-#3064)
9/22 M5*1 OK(410-#3064)
25/9/18 M5*1 OK(410-#5951)
</t>
      </text>
    </comment>
    <comment ref="G14" authorId="0" shapeId="0">
      <text>
        <t xml:space="preserve">guang:
3/7出1台ralf:
5/9 研磨*1 OK(6550L)特殊
5/23 研磨OK*1(7018)
5/25 出1台
ralf:
6/5 研磨OK*1(7018)
guang:
6/5 出1台
ralf:
7/14 研磨OK*1
8/16 研磨OK*1
8/17 出1台
9/1 出1台
9/7 出1台
ralf:
10/3 研磨OK*1
guang:
10/11 出1台
10/20 出1台
12/19 出1台
5/16 出1台(三廠)
guang:
11/20 出1台(三廠-CL18053001-機號:27309)
guang:
21/11/25 出1台(隆升加工-000400000917
22/1/22 出1台(隆升加工-100001093
4/7 出1台(隆升加工-100001545)
hsin:
6/13 出1台(三廠機號:100001735)
guang:
22/712 研磨*1(000400002873)
7/14 出1台(三廠-HA22070101-100001755-000400002873)
9/5 研磨*1(000400002873)
9/5 出1台(三廠-HA22071801-100001903-000400002873)
10/6 研磨*1(000400003064)
guang:
23/4/13 研磨*1(000400003064)
12/11 出1台(三廠-HA22090201-100002358-000400003064)
24/3/20 出1台(三廠-HA22092201-100002688-000400003064)
hsinwei:
25/10/8 研磨*1(000400005951)
10/8 出1台(三廠-HA25091801-100003325-000400005951)
</t>
      </text>
    </comment>
    <comment ref="C15" authorId="0" shapeId="0">
      <text>
        <t xml:space="preserve">guang:
4/16 入1台(YZ)(NEW)
5/11 入1台(YZ)(NEW)
6/11 入1台(YZ)(NEW)
8/1 入1台(JS)(NEW)
8/9 入2台(JS)(NEW)
8/17 入1台(YZ)(NEW)
8/23 入1台(JS)(NEW)
10/16 入1台(JS)(NEW)
10/22 入1台(JS)(NEW)
8/21 入1台(YZ)(NEW)
8/24 入1台(YZ)(NEW)
11/6 入1台(YZ)(NEW)
11/13 入1台(YZ)(NEW)
21/7/12 入1台(JS)(NEW)
7/19 入1台(JS)(NEW)
</t>
      </text>
    </comment>
    <comment ref="E15" authorId="0" shapeId="0">
      <text>
        <t xml:space="preserve">guang:
8/14 M6*1 OK(17M)
11/21M6*1 OK(17M)
6/7 M6*1 OK(17M)
6/8 M6*1 OK(17M)
7/17 M6*1 OK(17M)
9/11 M6*1 OK(17M)
9/12 M6*1 OK(17M)
9/13 M6*1 OK(17M)
10/22 M6*1 OK(17M)
10/24 M6*1 OK(17M)
11/27 M6*1 OK(17M)
12/3 M6*1 OK(17M)
12/5 M6*1 OK(17M)
8/27 M6*1 OK(17M)(標準機用)
10/15 M6*1 OK(17M)
12/31 M6*1 OK(17M)
21/1/5 M6*1 OK(17M)
9/3 M6*1 OK(17M-464)
9/7 M6*1 OK(17M-464)
</t>
      </text>
    </comment>
    <comment ref="F15" authorId="0" shapeId="0">
      <text>
        <t xml:space="preserve">guang:
4/27 M5*1 OK(410)
10/18 M5*1 OK(410)
5/2 M5*1 OK(410)
6/12 M5*1 OK(409)
6/14 M5*1 OK(409)
ralf:
7/2 1支背部砂孔報廢
guang:
7/5 出1台(裂痕-報廢)
7/28 M5*1 OK(409)
9/15 M5*1 OK(409)
9/19 M5*1 OK(409)
9/21 M5*1 OK(409)
11/8 M5*1 OK(813)
11/19 M5*1 OK(813)
12/19 M5*1 OK(813)
12/27 M5*1 OK(813)
2/6 M5*1 OK(813)
10/15 M5*1 OK(813)
10/23 M5*1 OK(813)(配EA/EAY)
21/1/27 M5*1 OK(410)
2/4 M5*1 OK(410)
10/22 M5*1 OK(410-000400000464-JS)
10/29 M5*1 OK(410-000400000464-JS)
</t>
      </text>
    </comment>
    <comment ref="G15" authorId="2" shapeId="0">
      <text>
        <t xml:space="preserve">ralf:
6/9 研磨OK*1(7018)
11/2 出1台(3廠)
5/2 出1台(3廠)
5/7 出1台(3廠)
7/17 出1台(3廠)
7/25 出1台(3廠)
10/26 研磨OK*1
11/19 研磨OK*1
2/21 出1台(3廠-HA18092102)
4/1 出1台(3廠-HA18072801)
9/16 出1台(3廠-HA18091501)
10/2 研磨OK*1
10/3 出1台(3廠-HA18091902)
12/27 研磨OK*1
2/15 研磨OK*1
2/18 研磨OK*1
10/3 出1台(3廠-HA19110801-台鐵用-27930)
4/21 研磨OK*1
5/6 出1台(3廠-HA19121901-28076)
5/8 出1台(3廠-HA20020601-26808)
5/12 研磨OK*1(標準機用)
7/21 出1台(3廠-HA19122701-28190)
21/1/28 研磨OK*1
2/24 出1台(3廠-HA19111901-100000018)
6/4 研磨OK*1
6/8 研磨OK*1
22/7/11 研磨OK*1(000400000464)
10/6 研磨OK*1(000400000464)
23/11/28 出1台(3廠-HA21102201-100002515-000400000464)
24/1/25 研磨OK*1(無編號)
</t>
      </text>
    </comment>
    <comment ref="C16" authorId="3" shapeId="0">
      <text>
        <t xml:space="preserve">001289:
11/1 入2台(SY-#3124)
guang:
24/2/29 入1台(SY-#4359)
</t>
      </text>
    </comment>
    <comment ref="E16" authorId="3" shapeId="0">
      <text>
        <t xml:space="preserve">001289:
11/11 M6*1 OK(409)
11/15 M6*1 OK(409)
guang:
24/3/6 M6*1 OK(410-#4359)
24/3/9 M6*1 OK(410-#4359)
</t>
      </text>
    </comment>
    <comment ref="F16" authorId="3" shapeId="0">
      <text>
        <t xml:space="preserve">001289:
11/21 M5*1 OK(410-#3124)
11/23 M5*1 OK(410-#3124)
guang:
23/5/24 出*2台(元榮研-#3124)
24/3/13 M5*1 OK(410-#4359)
3/21 出1台(元榮-HA24031301-100002726-#4359)
</t>
      </text>
    </comment>
    <comment ref="C17" authorId="0" shapeId="0">
      <text>
        <t xml:space="preserve">guang:
23/11/6 入1台(YJF-#4023)
guang:
</t>
      </text>
    </comment>
    <comment ref="D17" authorId="0" shapeId="0">
      <text>
        <t xml:space="preserve">guang:
23/11/8 M7*1 OK(813-#4023)
</t>
      </text>
    </comment>
    <comment ref="E17" authorId="0" shapeId="0">
      <text>
        <t xml:space="preserve">guang:
23/11/13 M6*1 OK(813-#4023)
</t>
      </text>
    </comment>
    <comment ref="F17" authorId="0" shapeId="0">
      <text>
        <t xml:space="preserve">guang:
23/11/27 M5*1 OK(410-#4023)
11/28 出*1台(台典研-100002659#4023)
guang:
</t>
      </text>
    </comment>
    <comment ref="C18" authorId="0" shapeId="0">
      <text>
        <t xml:space="preserve">guang:
23/12/4 入1台(LD-#4092)
</t>
      </text>
    </comment>
    <comment ref="D18" authorId="0" shapeId="0">
      <text>
        <t xml:space="preserve">guang:
23/12/12 M7*1 OK(813-#4092)
</t>
      </text>
    </comment>
    <comment ref="E18" authorId="0" shapeId="0">
      <text>
        <t xml:space="preserve">guang:
23/12/14 M6*1 OK(813-#4092)
</t>
      </text>
    </comment>
    <comment ref="F18" authorId="0" shapeId="0">
      <text>
        <t xml:space="preserve">guang:
23/12/26 M5*1 OK(410-#4092)
12/27 出1台(台典研-#4092)
</t>
      </text>
    </comment>
  </commentList>
</comments>
</file>

<file path=xl/comments/comment3.xml><?xml version="1.0" encoding="utf-8"?>
<comments xmlns="http://schemas.openxmlformats.org/spreadsheetml/2006/main">
  <authors>
    <author>guang</author>
    <author>ralf</author>
  </authors>
  <commentList>
    <comment ref="E2" authorId="0" shapeId="0">
      <text>
        <t xml:space="preserve">guang:
1/31 賣出3個(宏台)
</t>
      </text>
    </comment>
    <comment ref="F2" authorId="1" shapeId="0">
      <text>
        <t>ralf:
12/19 阿光點</t>
      </text>
    </comment>
    <comment ref="C3" authorId="0" shapeId="0">
      <text>
        <t>guang:
2/16 入10台(YJF)</t>
      </text>
    </comment>
    <comment ref="D3" authorId="0" shapeId="0">
      <text>
        <t xml:space="preserve">guang:
含報廢1台guang:
12/22 出1台
</t>
      </text>
    </comment>
    <comment ref="E3" authorId="0" shapeId="0">
      <text>
        <t xml:space="preserve">guang:
1/12出4台
2/8 出4台
9/11 臥搪*1 OK
9/12 臥搪*1 OK
9/14 臥搪*1 OK
9/18 臥搪*1 OK
9/30 臥搪*1 OK
12/06 臥搪*1 OK
guang:
2/2 出9台(6路)
</t>
      </text>
    </comment>
    <comment ref="F3" authorId="1" shapeId="0">
      <text>
        <t>ralf:
12/19阿光點</t>
      </text>
    </comment>
  </commentList>
</comments>
</file>

<file path=xl/comments/comment4.xml><?xml version="1.0" encoding="utf-8"?>
<comments xmlns="http://schemas.openxmlformats.org/spreadsheetml/2006/main">
  <authors>
    <author>ralf</author>
  </authors>
  <commentList>
    <comment ref="E2" authorId="0" shapeId="0">
      <text>
        <t>ralf:
411旁---12/19請政炎載回
3/16 賣出(永錩)</t>
      </text>
    </comment>
  </commentList>
</comments>
</file>

<file path=xl/comments/comment5.xml><?xml version="1.0" encoding="utf-8"?>
<comments xmlns="http://schemas.openxmlformats.org/spreadsheetml/2006/main">
  <authors>
    <author>guang</author>
  </authors>
  <commentList>
    <comment ref="E2" authorId="0" shapeId="0">
      <text>
        <t>guang:
第5區</t>
      </text>
    </comment>
  </commentList>
</comments>
</file>

<file path=xl/comments/comment6.xml><?xml version="1.0" encoding="utf-8"?>
<comments xmlns="http://schemas.openxmlformats.org/spreadsheetml/2006/main">
  <authors>
    <author>guang</author>
  </authors>
  <commentList>
    <comment ref="B2" authorId="0" shapeId="0">
      <text>
        <t xml:space="preserve">guang:
7/7 賣出楊鋼*1
</t>
      </text>
    </comment>
  </commentList>
</comment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 codeName="Sheet6">
    <tabColor indexed="45"/>
    <outlinePr summaryBelow="1" summaryRight="1"/>
    <pageSetUpPr/>
  </sheetPr>
  <dimension ref="A1:AG458"/>
  <sheetViews>
    <sheetView showRuler="0" zoomScale="130" zoomScaleNormal="130" workbookViewId="0">
      <pane ySplit="1" topLeftCell="A29" activePane="bottomLeft" state="frozen"/>
      <selection pane="bottomLeft" activeCell="A112" sqref="A112"/>
    </sheetView>
  </sheetViews>
  <sheetFormatPr baseColWidth="8" defaultRowHeight="16.5"/>
  <cols>
    <col width="23.125" customWidth="1" style="90" min="1" max="1"/>
    <col width="11.75" customWidth="1" style="101" min="2" max="7"/>
    <col width="3.75" customWidth="1" style="90" min="8" max="31"/>
    <col width="18.25" customWidth="1" style="90" min="33" max="33"/>
  </cols>
  <sheetData>
    <row r="1">
      <c r="A1" s="83" t="inlineStr">
        <is>
          <t>機型</t>
        </is>
      </c>
      <c r="B1" s="102" t="inlineStr">
        <is>
          <t>底座</t>
        </is>
      </c>
      <c r="C1" s="102" t="inlineStr">
        <is>
          <t>工作台</t>
        </is>
      </c>
      <c r="D1" s="102" t="inlineStr">
        <is>
          <t>橫樑</t>
        </is>
      </c>
      <c r="E1" s="102" t="inlineStr">
        <is>
          <t>立柱</t>
        </is>
      </c>
      <c r="F1" s="102" t="inlineStr">
        <is>
          <t>機頭</t>
        </is>
      </c>
      <c r="G1" s="102" t="inlineStr">
        <is>
          <t>定樑</t>
        </is>
      </c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  <c r="AA1" s="53" t="n"/>
      <c r="AB1" s="53" t="n"/>
      <c r="AC1" s="53" t="n"/>
      <c r="AD1" s="53" t="n"/>
      <c r="AE1" s="53" t="n"/>
      <c r="AF1" s="53" t="n"/>
      <c r="AG1" s="53" t="n"/>
    </row>
    <row r="2" ht="15.95" customHeight="1" s="90">
      <c r="A2" s="72" t="inlineStr">
        <is>
          <t>AHC-X31</t>
        </is>
      </c>
      <c r="B2" s="103" t="n"/>
      <c r="C2" s="103" t="n"/>
      <c r="D2" s="103">
        <f>橫樑!I2</f>
        <v/>
      </c>
      <c r="E2" s="103" t="n"/>
      <c r="F2" s="103" t="n"/>
      <c r="G2" s="102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2" t="n"/>
      <c r="AF2" s="2" t="n"/>
      <c r="AG2" s="53" t="n"/>
    </row>
    <row r="3" ht="15.95" customHeight="1" s="90">
      <c r="A3" s="72" t="inlineStr">
        <is>
          <t>AHC-X36</t>
        </is>
      </c>
      <c r="B3" s="103" t="n"/>
      <c r="C3" s="103" t="n"/>
      <c r="D3" s="103">
        <f>橫樑!I3</f>
        <v/>
      </c>
      <c r="E3" s="103" t="n"/>
      <c r="F3" s="103" t="n"/>
      <c r="G3" s="104" t="n"/>
      <c r="H3" s="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  <c r="AA3" s="53" t="n"/>
      <c r="AB3" s="53" t="n"/>
      <c r="AC3" s="53" t="n"/>
      <c r="AD3" s="53" t="n"/>
      <c r="AE3" s="53" t="n"/>
      <c r="AF3" s="2" t="n"/>
      <c r="AG3" s="53" t="n"/>
    </row>
    <row r="4" ht="15.95" customHeight="1" s="90">
      <c r="A4" s="72" t="inlineStr">
        <is>
          <t>AHC-X46</t>
        </is>
      </c>
      <c r="B4" s="103" t="n"/>
      <c r="C4" s="103" t="n"/>
      <c r="D4" s="103">
        <f>橫樑!I4</f>
        <v/>
      </c>
      <c r="E4" s="103" t="n"/>
      <c r="F4" s="103" t="n"/>
      <c r="G4" s="102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  <c r="AA4" s="53" t="n"/>
      <c r="AB4" s="53" t="n"/>
      <c r="AC4" s="53" t="n"/>
      <c r="AD4" s="53" t="n"/>
      <c r="AE4" s="53" t="n"/>
      <c r="AF4" s="2" t="n"/>
      <c r="AG4" s="53" t="n"/>
    </row>
    <row r="5" ht="15.95" customFormat="1" customHeight="1" s="105">
      <c r="A5" s="72" t="inlineStr">
        <is>
          <t>AMZ4265</t>
        </is>
      </c>
      <c r="B5" s="103" t="n"/>
      <c r="C5" s="103">
        <f>工作台!#REF!</f>
        <v/>
      </c>
      <c r="D5" s="103" t="n"/>
      <c r="E5" s="103" t="n"/>
      <c r="F5" s="103" t="n"/>
      <c r="G5" s="102" t="n"/>
    </row>
    <row r="6" ht="15" customHeight="1" s="90">
      <c r="A6" s="72" t="inlineStr">
        <is>
          <t>AMZ5350</t>
        </is>
      </c>
      <c r="B6" s="103" t="n"/>
      <c r="C6" s="103" t="n"/>
      <c r="D6" s="103">
        <f>橫樑!#REF!</f>
        <v/>
      </c>
      <c r="E6" s="103" t="n"/>
      <c r="F6" s="103" t="n"/>
      <c r="G6" s="102" t="n"/>
      <c r="H6" s="53" t="n"/>
      <c r="I6" s="53" t="n"/>
      <c r="J6" s="53" t="n"/>
      <c r="K6" s="53" t="n"/>
      <c r="L6" s="53" t="n"/>
      <c r="M6" s="53" t="n"/>
      <c r="N6" s="53" t="n"/>
      <c r="O6" s="53" t="n"/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  <c r="AA6" s="53" t="n"/>
      <c r="AB6" s="53" t="n"/>
      <c r="AC6" s="53" t="n"/>
      <c r="AD6" s="53" t="n"/>
      <c r="AE6" s="53" t="n"/>
      <c r="AF6" s="2" t="n"/>
      <c r="AG6" s="53" t="n"/>
    </row>
    <row r="7" ht="15.95" customHeight="1" s="90">
      <c r="A7" s="72" t="inlineStr">
        <is>
          <t>HB-3190</t>
        </is>
      </c>
      <c r="B7" s="103" t="n"/>
      <c r="C7" s="103">
        <f>工作台!#REF!</f>
        <v/>
      </c>
      <c r="D7" s="103" t="n"/>
      <c r="E7" s="103" t="n"/>
      <c r="F7" s="103" t="n"/>
      <c r="G7" s="102" t="n"/>
      <c r="H7" s="53" t="n"/>
      <c r="I7" s="53" t="n"/>
      <c r="J7" s="53" t="n"/>
      <c r="K7" s="53" t="n"/>
      <c r="L7" s="53" t="n"/>
      <c r="M7" s="53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  <c r="AA7" s="53" t="n"/>
      <c r="AB7" s="53" t="n"/>
      <c r="AC7" s="53" t="n"/>
      <c r="AD7" s="53" t="n"/>
      <c r="AE7" s="53" t="n"/>
      <c r="AF7" s="2" t="n"/>
      <c r="AG7" s="53" t="n"/>
    </row>
    <row r="8" ht="15.95" customHeight="1" s="90">
      <c r="A8" s="72" t="inlineStr">
        <is>
          <t>HCMC-1270</t>
        </is>
      </c>
      <c r="B8" s="106" t="n"/>
      <c r="C8" s="103" t="n"/>
      <c r="D8" s="106" t="n"/>
      <c r="E8" s="106" t="n"/>
      <c r="F8" s="103">
        <f>機頭!F3</f>
        <v/>
      </c>
      <c r="G8" s="107" t="n"/>
      <c r="H8" s="53" t="n"/>
      <c r="I8" s="53" t="n"/>
      <c r="J8" s="53" t="n"/>
      <c r="K8" s="53" t="n"/>
      <c r="L8" s="53" t="n"/>
      <c r="M8" s="53" t="n"/>
      <c r="N8" s="53" t="n"/>
      <c r="O8" s="53" t="n"/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  <c r="AA8" s="53" t="n"/>
      <c r="AB8" s="53" t="n"/>
      <c r="AC8" s="53" t="n"/>
      <c r="AD8" s="53" t="n"/>
      <c r="AE8" s="53" t="n"/>
      <c r="AF8" s="2" t="n"/>
      <c r="AG8" s="53" t="n"/>
    </row>
    <row r="9" ht="15.95" customHeight="1" s="90">
      <c r="A9" s="72" t="inlineStr">
        <is>
          <t>HEP2150</t>
        </is>
      </c>
      <c r="B9" s="103">
        <f>底座!F5</f>
        <v/>
      </c>
      <c r="C9" s="103">
        <f>工作台!J2</f>
        <v/>
      </c>
      <c r="D9" s="103">
        <f>橫樑!I5</f>
        <v/>
      </c>
      <c r="E9" s="103" t="n"/>
      <c r="F9" s="103" t="n"/>
      <c r="G9" s="102" t="n"/>
      <c r="H9" s="53" t="n"/>
      <c r="I9" s="53" t="n"/>
      <c r="J9" s="53" t="n"/>
      <c r="K9" s="53" t="n"/>
      <c r="L9" s="53" t="n"/>
      <c r="M9" s="53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  <c r="AA9" s="53" t="n"/>
      <c r="AB9" s="53" t="n"/>
      <c r="AC9" s="53" t="n"/>
      <c r="AD9" s="53" t="n"/>
      <c r="AE9" s="53" t="n"/>
      <c r="AF9" s="2" t="n"/>
      <c r="AG9" s="53" t="n"/>
    </row>
    <row r="10" ht="15.95" customHeight="1" s="90">
      <c r="A10" s="72" t="inlineStr">
        <is>
          <t>HSA-216</t>
        </is>
      </c>
      <c r="B10" s="103" t="n"/>
      <c r="C10" s="103">
        <f>工作台!J3</f>
        <v/>
      </c>
      <c r="D10" s="103" t="n"/>
      <c r="E10" s="103" t="n"/>
      <c r="F10" s="103" t="n"/>
      <c r="G10" s="102" t="n"/>
      <c r="H10" s="53" t="n"/>
      <c r="I10" s="53" t="n"/>
      <c r="J10" s="53" t="n"/>
      <c r="K10" s="53" t="n"/>
      <c r="L10" s="53" t="n"/>
      <c r="M10" s="53" t="n"/>
      <c r="N10" s="53" t="n"/>
      <c r="O10" s="53" t="n"/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  <c r="AA10" s="53" t="n"/>
      <c r="AB10" s="53" t="n"/>
      <c r="AC10" s="53" t="n"/>
      <c r="AD10" s="53" t="n"/>
      <c r="AE10" s="53" t="n"/>
      <c r="AF10" s="2" t="n"/>
      <c r="AG10" s="53" t="n"/>
    </row>
    <row r="11" ht="15.95" customHeight="1" s="90">
      <c r="A11" s="72" t="inlineStr">
        <is>
          <t>HEP-2150(一體式-標準)</t>
        </is>
      </c>
      <c r="B11" s="103">
        <f>底座!H6</f>
        <v/>
      </c>
      <c r="C11" s="103" t="n"/>
      <c r="D11" s="103" t="n"/>
      <c r="E11" s="103" t="n"/>
      <c r="F11" s="103" t="n"/>
      <c r="G11" s="102" t="n"/>
      <c r="H11" s="53" t="n"/>
      <c r="I11" s="53" t="n"/>
      <c r="J11" s="53" t="n"/>
      <c r="K11" s="53" t="n"/>
      <c r="L11" s="53" t="n"/>
      <c r="M11" s="53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  <c r="AA11" s="53" t="n"/>
      <c r="AB11" s="53" t="n"/>
      <c r="AC11" s="53" t="n"/>
      <c r="AD11" s="53" t="n"/>
      <c r="AE11" s="53" t="n"/>
      <c r="AF11" s="2" t="n"/>
      <c r="AG11" s="53" t="n"/>
    </row>
    <row r="12" ht="15.95" customHeight="1" s="90">
      <c r="A12" s="72" t="inlineStr">
        <is>
          <t>HSA-216(一體式-標準)</t>
        </is>
      </c>
      <c r="B12" s="103">
        <f>底座!H7</f>
        <v/>
      </c>
      <c r="C12" s="103" t="n"/>
      <c r="D12" s="103" t="n"/>
      <c r="E12" s="103" t="n"/>
      <c r="F12" s="103" t="n"/>
      <c r="G12" s="102" t="n"/>
      <c r="H12" s="53" t="n"/>
      <c r="I12" s="53" t="n"/>
      <c r="J12" s="53" t="n"/>
      <c r="K12" s="53" t="n"/>
      <c r="L12" s="53" t="n"/>
      <c r="M12" s="53" t="n"/>
      <c r="N12" s="53" t="n"/>
      <c r="O12" s="53" t="n"/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  <c r="AA12" s="53" t="n"/>
      <c r="AB12" s="53" t="n"/>
      <c r="AC12" s="53" t="n"/>
      <c r="AD12" s="53" t="n"/>
      <c r="AE12" s="53" t="n"/>
      <c r="AF12" s="2" t="n"/>
      <c r="AG12" s="53" t="n"/>
    </row>
    <row r="13" ht="15.95" customHeight="1" s="90">
      <c r="A13" s="72" t="inlineStr">
        <is>
          <t>HEP-216(一體式-100H)</t>
        </is>
      </c>
      <c r="B13" s="103">
        <f>底座!H8</f>
        <v/>
      </c>
      <c r="C13" s="103" t="n"/>
      <c r="D13" s="103" t="n"/>
      <c r="E13" s="103" t="n"/>
      <c r="F13" s="103" t="n"/>
      <c r="G13" s="102" t="n"/>
      <c r="H13" s="53" t="n"/>
      <c r="I13" s="53" t="n"/>
      <c r="J13" s="53" t="n"/>
      <c r="K13" s="53" t="n"/>
      <c r="L13" s="53" t="n"/>
      <c r="M13" s="53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  <c r="AA13" s="53" t="n"/>
      <c r="AB13" s="53" t="n"/>
      <c r="AC13" s="53" t="n"/>
      <c r="AD13" s="53" t="n"/>
      <c r="AE13" s="53" t="n"/>
      <c r="AF13" s="2" t="n"/>
      <c r="AG13" s="53" t="n"/>
    </row>
    <row r="14" ht="15.95" customHeight="1" s="90">
      <c r="A14" s="72" t="inlineStr">
        <is>
          <t>HEP-216(一體式-200H)</t>
        </is>
      </c>
      <c r="B14" s="103">
        <f>底座!H9</f>
        <v/>
      </c>
      <c r="C14" s="103" t="n"/>
      <c r="D14" s="103" t="n"/>
      <c r="E14" s="103" t="n"/>
      <c r="F14" s="103" t="n"/>
      <c r="G14" s="102" t="n"/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  <c r="Z14" s="53" t="n"/>
      <c r="AA14" s="53" t="n"/>
      <c r="AB14" s="53" t="n"/>
      <c r="AC14" s="53" t="n"/>
      <c r="AD14" s="53" t="n"/>
      <c r="AE14" s="53" t="n"/>
      <c r="AF14" s="2" t="n"/>
      <c r="AG14" s="53" t="n"/>
    </row>
    <row r="15" ht="15.95" customHeight="1" s="90">
      <c r="A15" s="72" t="inlineStr">
        <is>
          <t>HEP3150</t>
        </is>
      </c>
      <c r="B15" s="103">
        <f>底座!H10</f>
        <v/>
      </c>
      <c r="C15" s="103">
        <f>工作台!J4</f>
        <v/>
      </c>
      <c r="D15" s="103" t="n"/>
      <c r="E15" s="103" t="n"/>
      <c r="F15" s="103" t="n"/>
      <c r="G15" s="102" t="n"/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  <c r="AA15" s="53" t="n"/>
      <c r="AB15" s="53" t="n"/>
      <c r="AC15" s="53" t="n"/>
      <c r="AD15" s="53" t="n"/>
      <c r="AE15" s="53" t="n"/>
      <c r="AF15" s="2" t="n"/>
      <c r="AG15" s="53" t="n"/>
    </row>
    <row r="16" ht="15.95" customHeight="1" s="90">
      <c r="A16" s="72" t="inlineStr">
        <is>
          <t>HEP-3150(一體式-Z-80)</t>
        </is>
      </c>
      <c r="B16" s="103">
        <f>底座!H11</f>
        <v/>
      </c>
      <c r="C16" s="103" t="n"/>
      <c r="D16" s="103" t="n"/>
      <c r="E16" s="103" t="n"/>
      <c r="F16" s="103" t="n"/>
      <c r="G16" s="102" t="n"/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  <c r="AA16" s="53" t="n"/>
      <c r="AB16" s="53" t="n"/>
      <c r="AC16" s="53" t="n"/>
      <c r="AD16" s="53" t="n"/>
      <c r="AE16" s="53" t="n"/>
      <c r="AF16" s="2" t="n"/>
      <c r="AG16" s="53" t="n"/>
    </row>
    <row r="17" ht="15.95" customHeight="1" s="90">
      <c r="A17" s="72" t="inlineStr">
        <is>
          <t>HEP-3150(一體式-標準)</t>
        </is>
      </c>
      <c r="B17" s="103">
        <f>底座!H12</f>
        <v/>
      </c>
      <c r="C17" s="103" t="n"/>
      <c r="D17" s="103" t="n"/>
      <c r="E17" s="103" t="n"/>
      <c r="F17" s="103" t="n"/>
      <c r="G17" s="102" t="n"/>
      <c r="H17" s="53" t="n"/>
      <c r="I17" s="53" t="n"/>
      <c r="J17" s="53" t="n"/>
      <c r="K17" s="53" t="n"/>
      <c r="L17" s="53" t="n"/>
      <c r="M17" s="53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  <c r="AA17" s="53" t="n"/>
      <c r="AB17" s="53" t="n"/>
      <c r="AC17" s="53" t="n"/>
      <c r="AD17" s="53" t="n"/>
      <c r="AE17" s="53" t="n"/>
      <c r="AF17" s="2" t="n"/>
      <c r="AG17" s="53" t="n"/>
    </row>
    <row r="18" ht="15.95" customHeight="1" s="90">
      <c r="A18" s="72" t="inlineStr">
        <is>
          <t>HSA-316(一體式-標準)</t>
        </is>
      </c>
      <c r="B18" s="103">
        <f>底座!H13</f>
        <v/>
      </c>
      <c r="C18" s="103" t="n"/>
      <c r="D18" s="103" t="n"/>
      <c r="E18" s="103" t="n"/>
      <c r="F18" s="103" t="n"/>
      <c r="G18" s="102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  <c r="AA18" s="53" t="n"/>
      <c r="AB18" s="53" t="n"/>
      <c r="AC18" s="53" t="n"/>
      <c r="AD18" s="53" t="n"/>
      <c r="AE18" s="53" t="n"/>
      <c r="AF18" s="2" t="n"/>
      <c r="AG18" s="53" t="n"/>
    </row>
    <row r="19" ht="15.95" customHeight="1" s="90">
      <c r="A19" s="72" t="inlineStr">
        <is>
          <t>HSA-316(一體式-100H)</t>
        </is>
      </c>
      <c r="B19" s="103">
        <f>底座!H14</f>
        <v/>
      </c>
      <c r="C19" s="103" t="n"/>
      <c r="D19" s="103" t="n"/>
      <c r="E19" s="103" t="n"/>
      <c r="F19" s="103" t="n"/>
      <c r="G19" s="102" t="n"/>
      <c r="H19" s="53" t="n"/>
      <c r="I19" s="53" t="n"/>
      <c r="J19" s="53" t="n"/>
      <c r="K19" s="53" t="n"/>
      <c r="L19" s="53" t="n"/>
      <c r="M19" s="53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  <c r="AA19" s="53" t="n"/>
      <c r="AB19" s="53" t="n"/>
      <c r="AC19" s="53" t="n"/>
      <c r="AD19" s="53" t="n"/>
      <c r="AE19" s="53" t="n"/>
      <c r="AF19" s="2" t="n"/>
      <c r="AG19" s="53" t="n"/>
    </row>
    <row r="20" ht="15.95" customHeight="1" s="90">
      <c r="A20" s="72" t="inlineStr">
        <is>
          <t>HSA-316(一體式-200H)</t>
        </is>
      </c>
      <c r="B20" s="103">
        <f>底座!H15</f>
        <v/>
      </c>
      <c r="C20" s="103" t="n"/>
      <c r="D20" s="103" t="n"/>
      <c r="E20" s="103" t="n"/>
      <c r="F20" s="103" t="n"/>
      <c r="G20" s="102" t="n"/>
      <c r="H20" s="53" t="n"/>
      <c r="I20" s="53" t="n"/>
      <c r="J20" s="53" t="n"/>
      <c r="K20" s="53" t="n"/>
      <c r="L20" s="53" t="n"/>
      <c r="M20" s="53" t="n"/>
      <c r="N20" s="53" t="n"/>
      <c r="O20" s="53" t="n"/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  <c r="Z20" s="53" t="n"/>
      <c r="AA20" s="53" t="n"/>
      <c r="AB20" s="53" t="n"/>
      <c r="AC20" s="53" t="n"/>
      <c r="AD20" s="53" t="n"/>
      <c r="AE20" s="53" t="n"/>
      <c r="AF20" s="2" t="n"/>
      <c r="AG20" s="53" t="n"/>
    </row>
    <row r="21" ht="15.95" customHeight="1" s="90">
      <c r="A21" s="72" t="inlineStr">
        <is>
          <t>HSA-316</t>
        </is>
      </c>
      <c r="B21" s="103" t="n"/>
      <c r="C21" s="103">
        <f>工作台!J5</f>
        <v/>
      </c>
      <c r="D21" s="103" t="n"/>
      <c r="E21" s="103" t="n"/>
      <c r="F21" s="103" t="n"/>
      <c r="G21" s="102" t="n"/>
      <c r="H21" s="53" t="n"/>
      <c r="I21" s="53" t="n"/>
      <c r="J21" s="53" t="n"/>
      <c r="K21" s="53" t="n"/>
      <c r="L21" s="53" t="n"/>
      <c r="M21" s="53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  <c r="AA21" s="53" t="n"/>
      <c r="AB21" s="53" t="n"/>
      <c r="AC21" s="53" t="n"/>
      <c r="AD21" s="53" t="n"/>
      <c r="AE21" s="53" t="n"/>
      <c r="AF21" s="2" t="n"/>
      <c r="AG21" s="53" t="n"/>
    </row>
    <row r="22" ht="15.95" customHeight="1" s="90">
      <c r="A22" s="72" t="inlineStr">
        <is>
          <t>HEP-1420立柱</t>
        </is>
      </c>
      <c r="B22" s="103" t="n"/>
      <c r="C22" s="103" t="n"/>
      <c r="D22" s="103" t="n"/>
      <c r="E22" s="103">
        <f>立柱!#REF!</f>
        <v/>
      </c>
      <c r="F22" s="103" t="n"/>
      <c r="G22" s="102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  <c r="AA22" s="53" t="n"/>
      <c r="AB22" s="53" t="n"/>
      <c r="AC22" s="53" t="n"/>
      <c r="AD22" s="53" t="n"/>
      <c r="AE22" s="53" t="n"/>
      <c r="AF22" s="2" t="n"/>
      <c r="AG22" s="53" t="n"/>
    </row>
    <row r="23" ht="15.95" customHeight="1" s="90">
      <c r="A23" s="72" t="inlineStr">
        <is>
          <t>HEP-1520立柱</t>
        </is>
      </c>
      <c r="B23" s="103" t="n"/>
      <c r="C23" s="103" t="n"/>
      <c r="D23" s="103" t="n"/>
      <c r="E23" s="103">
        <f>立柱!#REF!</f>
        <v/>
      </c>
      <c r="F23" s="103" t="n"/>
      <c r="G23" s="102" t="n"/>
      <c r="H23" s="53" t="n"/>
      <c r="I23" s="53" t="n"/>
      <c r="J23" s="53" t="n"/>
      <c r="K23" s="53" t="n"/>
      <c r="L23" s="53" t="n"/>
      <c r="M23" s="53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3" t="n"/>
      <c r="AF23" s="2" t="n"/>
      <c r="AG23" s="53" t="n"/>
    </row>
    <row r="24" ht="15.95" customHeight="1" s="90">
      <c r="A24" s="72" t="inlineStr">
        <is>
          <t>HEP-1620立柱</t>
        </is>
      </c>
      <c r="B24" s="103" t="n"/>
      <c r="C24" s="103" t="n"/>
      <c r="D24" s="103" t="n"/>
      <c r="E24" s="103">
        <f>立柱!#REF!</f>
        <v/>
      </c>
      <c r="F24" s="103" t="n"/>
      <c r="G24" s="102" t="n"/>
      <c r="H24" s="53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  <c r="AA24" s="53" t="n"/>
      <c r="AB24" s="53" t="n"/>
      <c r="AC24" s="53" t="n"/>
      <c r="AD24" s="53" t="n"/>
      <c r="AE24" s="53" t="n"/>
      <c r="AF24" s="2" t="n"/>
      <c r="AG24" s="53" t="n"/>
    </row>
    <row r="25" ht="15.95" customHeight="1" s="90">
      <c r="A25" s="72" t="inlineStr">
        <is>
          <t>HEP-1720立柱</t>
        </is>
      </c>
      <c r="B25" s="103" t="n"/>
      <c r="C25" s="103" t="n"/>
      <c r="D25" s="103" t="n"/>
      <c r="E25" s="103">
        <f>立柱!#REF!</f>
        <v/>
      </c>
      <c r="F25" s="103" t="n"/>
      <c r="G25" s="102" t="n"/>
      <c r="H25" s="53" t="n"/>
      <c r="I25" s="53" t="n"/>
      <c r="J25" s="53" t="n"/>
      <c r="K25" s="53" t="n"/>
      <c r="L25" s="53" t="n"/>
      <c r="M25" s="53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  <c r="AA25" s="53" t="n"/>
      <c r="AB25" s="53" t="n"/>
      <c r="AC25" s="53" t="n"/>
      <c r="AD25" s="53" t="n"/>
      <c r="AE25" s="53" t="n"/>
      <c r="AF25" s="2" t="n"/>
      <c r="AG25" s="53" t="n"/>
    </row>
    <row r="26" ht="15.95" customHeight="1" s="90">
      <c r="A26" s="72" t="inlineStr">
        <is>
          <t>HSA-2212</t>
        </is>
      </c>
      <c r="B26" s="103">
        <f>底座!H2</f>
        <v/>
      </c>
      <c r="C26" s="103">
        <f>工作台!J38</f>
        <v/>
      </c>
      <c r="D26" s="103" t="n"/>
      <c r="E26" s="103" t="n"/>
      <c r="F26" s="103" t="n"/>
      <c r="G26" s="102" t="n"/>
      <c r="H26" s="53" t="n"/>
      <c r="I26" s="53" t="n"/>
      <c r="J26" s="53" t="n"/>
      <c r="K26" s="53" t="n"/>
      <c r="L26" s="53" t="n"/>
      <c r="M26" s="53" t="n"/>
      <c r="N26" s="53" t="n"/>
      <c r="O26" s="53" t="n"/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3" t="n"/>
      <c r="AF26" s="2" t="n"/>
      <c r="AG26" s="53" t="n"/>
    </row>
    <row r="27" ht="15.95" customHeight="1" s="90">
      <c r="A27" s="72" t="inlineStr">
        <is>
          <t>HSA-2212(一體式-200H)</t>
        </is>
      </c>
      <c r="B27" s="103">
        <f>底座!H3</f>
        <v/>
      </c>
      <c r="C27" s="103" t="n"/>
      <c r="D27" s="103" t="n"/>
      <c r="E27" s="103" t="n"/>
      <c r="F27" s="103" t="n"/>
      <c r="G27" s="102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  <c r="AA27" s="53" t="n"/>
      <c r="AB27" s="53" t="n"/>
      <c r="AC27" s="53" t="n"/>
      <c r="AD27" s="53" t="n"/>
      <c r="AE27" s="53" t="n"/>
      <c r="AF27" s="2" t="n"/>
      <c r="AG27" s="53" t="n"/>
    </row>
    <row r="28" ht="15.95" customHeight="1" s="90">
      <c r="A28" s="72" t="inlineStr">
        <is>
          <t>HSA-3212</t>
        </is>
      </c>
      <c r="B28" s="103">
        <f>底座!H4</f>
        <v/>
      </c>
      <c r="C28" s="103">
        <f>工作台!J39</f>
        <v/>
      </c>
      <c r="D28" s="103" t="n"/>
      <c r="E28" s="103" t="n"/>
      <c r="F28" s="103" t="n"/>
      <c r="G28" s="102" t="n"/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  <c r="AA28" s="53" t="n"/>
      <c r="AB28" s="53" t="n"/>
      <c r="AC28" s="53" t="n"/>
      <c r="AD28" s="53" t="n"/>
      <c r="AE28" s="53" t="n"/>
      <c r="AF28" s="2" t="n"/>
      <c r="AG28" s="53" t="n"/>
    </row>
    <row r="29" ht="15.95" customHeight="1" s="90">
      <c r="A29" s="72" t="inlineStr">
        <is>
          <t>HSA-220</t>
        </is>
      </c>
      <c r="B29" s="103">
        <f>底座!H16</f>
        <v/>
      </c>
      <c r="C29" s="103">
        <f>工作台!J6</f>
        <v/>
      </c>
      <c r="D29" s="103" t="n"/>
      <c r="E29" s="103" t="n"/>
      <c r="F29" s="103" t="n"/>
      <c r="G29" s="102" t="n"/>
      <c r="H29" s="53" t="n"/>
      <c r="I29" s="53" t="n"/>
      <c r="J29" s="53" t="n"/>
      <c r="K29" s="53" t="n"/>
      <c r="L29" s="53" t="n"/>
      <c r="M29" s="53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3" t="n"/>
      <c r="AF29" s="2" t="n"/>
      <c r="AG29" s="53" t="n"/>
    </row>
    <row r="30" ht="15.95" customHeight="1" s="90">
      <c r="A30" s="72" t="inlineStr">
        <is>
          <t>HSA-320</t>
        </is>
      </c>
      <c r="B30" s="103">
        <f>底座!H17</f>
        <v/>
      </c>
      <c r="C30" s="103">
        <f>工作台!J7</f>
        <v/>
      </c>
      <c r="D30" s="103" t="n"/>
      <c r="E30" s="103" t="n"/>
      <c r="F30" s="103" t="n"/>
      <c r="G30" s="102" t="n"/>
      <c r="H30" s="53" t="n"/>
      <c r="I30" s="53" t="n"/>
      <c r="J30" s="53" t="n"/>
      <c r="K30" s="53" t="n"/>
      <c r="L30" s="53" t="n"/>
      <c r="M30" s="53" t="n"/>
      <c r="N30" s="53" t="n"/>
      <c r="O30" s="53" t="n"/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  <c r="AA30" s="53" t="n"/>
      <c r="AB30" s="53" t="n"/>
      <c r="AC30" s="53" t="n"/>
      <c r="AD30" s="53" t="n"/>
      <c r="AE30" s="53" t="n"/>
      <c r="AF30" s="2" t="n"/>
      <c r="AG30" s="53" t="n"/>
    </row>
    <row r="31" ht="15.95" customHeight="1" s="90">
      <c r="A31" s="72" t="inlineStr">
        <is>
          <t>HSA-320_NEO</t>
        </is>
      </c>
      <c r="B31" s="103">
        <f>底座!H18</f>
        <v/>
      </c>
      <c r="C31" s="103">
        <f>工作台!J8</f>
        <v/>
      </c>
      <c r="D31" s="103" t="n"/>
      <c r="E31" s="103" t="n"/>
      <c r="F31" s="103" t="n"/>
      <c r="G31" s="102" t="n"/>
      <c r="H31" s="53" t="n"/>
      <c r="I31" s="53" t="n"/>
      <c r="J31" s="53" t="n"/>
      <c r="K31" s="53" t="n"/>
      <c r="L31" s="53" t="n"/>
      <c r="M31" s="53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  <c r="AA31" s="53" t="n"/>
      <c r="AB31" s="53" t="n"/>
      <c r="AC31" s="53" t="n"/>
      <c r="AD31" s="53" t="n"/>
      <c r="AE31" s="53" t="n"/>
      <c r="AF31" s="2" t="n"/>
      <c r="AG31" s="53" t="n"/>
    </row>
    <row r="32" ht="15.95" customHeight="1" s="90">
      <c r="A32" s="72" t="inlineStr">
        <is>
          <t>HSA323</t>
        </is>
      </c>
      <c r="B32" s="103">
        <f>底座!H19</f>
        <v/>
      </c>
      <c r="C32" s="103">
        <f>工作台!J9</f>
        <v/>
      </c>
      <c r="D32" s="103" t="n"/>
      <c r="E32" s="103" t="n"/>
      <c r="F32" s="103" t="n"/>
      <c r="G32" s="102" t="n"/>
      <c r="H32" s="53" t="n"/>
      <c r="I32" s="53" t="n"/>
      <c r="J32" s="53" t="n"/>
      <c r="K32" s="53" t="n"/>
      <c r="L32" s="53" t="n"/>
      <c r="M32" s="53" t="n"/>
      <c r="N32" s="53" t="n"/>
      <c r="O32" s="53" t="n"/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  <c r="AA32" s="53" t="n"/>
      <c r="AB32" s="53" t="n"/>
      <c r="AC32" s="53" t="n"/>
      <c r="AD32" s="53" t="n"/>
      <c r="AE32" s="53" t="n"/>
      <c r="AF32" s="2" t="n"/>
      <c r="AG32" s="53" t="n"/>
    </row>
    <row r="33" ht="15.95" customHeight="1" s="90">
      <c r="A33" s="72" t="inlineStr">
        <is>
          <t>HSA328</t>
        </is>
      </c>
      <c r="B33" s="108">
        <f>底座!H20</f>
        <v/>
      </c>
      <c r="C33" s="103">
        <f>工作台!J10</f>
        <v/>
      </c>
      <c r="D33" s="103" t="n"/>
      <c r="E33" s="103" t="n"/>
      <c r="F33" s="103" t="n"/>
      <c r="G33" s="102" t="n"/>
      <c r="H33" s="53" t="n"/>
      <c r="I33" s="53" t="n"/>
      <c r="J33" s="53" t="n"/>
      <c r="K33" s="53" t="n"/>
      <c r="L33" s="53" t="n"/>
      <c r="M33" s="53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  <c r="AA33" s="53" t="n"/>
      <c r="AB33" s="53" t="n"/>
      <c r="AC33" s="53" t="n"/>
      <c r="AD33" s="53" t="n"/>
      <c r="AE33" s="53" t="n"/>
      <c r="AF33" s="2" t="n"/>
      <c r="AG33" s="53" t="n"/>
    </row>
    <row r="34" ht="15.95" customHeight="1" s="90">
      <c r="A34" s="72" t="inlineStr">
        <is>
          <t>HSA327</t>
        </is>
      </c>
      <c r="B34" s="103">
        <f>底座!H21</f>
        <v/>
      </c>
      <c r="C34" s="103" t="n"/>
      <c r="D34" s="103" t="n"/>
      <c r="E34" s="103" t="n"/>
      <c r="F34" s="103" t="n"/>
      <c r="G34" s="102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  <c r="AA34" s="53" t="n"/>
      <c r="AB34" s="53" t="n"/>
      <c r="AC34" s="53" t="n"/>
      <c r="AD34" s="53" t="n"/>
      <c r="AE34" s="53" t="n"/>
      <c r="AF34" s="2" t="n"/>
      <c r="AG34" s="53" t="n"/>
    </row>
    <row r="35" ht="15.95" customHeight="1" s="90">
      <c r="A35" s="72" t="inlineStr">
        <is>
          <t>HSA-420</t>
        </is>
      </c>
      <c r="B35" s="103">
        <f>底座!H22</f>
        <v/>
      </c>
      <c r="C35" s="103">
        <f>工作台!J11</f>
        <v/>
      </c>
      <c r="D35" s="103" t="n">
        <v>0</v>
      </c>
      <c r="E35" s="103" t="n"/>
      <c r="F35" s="103" t="n"/>
      <c r="G35" s="102" t="n"/>
      <c r="H35" s="53" t="n"/>
      <c r="I35" s="53" t="n"/>
      <c r="J35" s="53" t="n"/>
      <c r="K35" s="53" t="n"/>
      <c r="L35" s="53" t="n"/>
      <c r="M35" s="53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  <c r="AA35" s="53" t="n"/>
      <c r="AB35" s="53" t="n"/>
      <c r="AC35" s="53" t="n"/>
      <c r="AD35" s="53" t="n"/>
      <c r="AE35" s="53" t="n"/>
      <c r="AF35" s="2" t="n"/>
      <c r="AG35" s="53" t="n"/>
    </row>
    <row r="36" ht="15.95" customHeight="1" s="90">
      <c r="A36" s="72" t="inlineStr">
        <is>
          <t>HSA423_NEO</t>
        </is>
      </c>
      <c r="B36" s="103">
        <f>底座!H24</f>
        <v/>
      </c>
      <c r="C36" s="103">
        <f>工作台!J12</f>
        <v/>
      </c>
      <c r="D36" s="103" t="n">
        <v>0</v>
      </c>
      <c r="E36" s="103" t="n"/>
      <c r="F36" s="103" t="n"/>
      <c r="G36" s="102" t="n"/>
      <c r="H36" s="53" t="n"/>
      <c r="I36" s="53" t="n"/>
      <c r="J36" s="53" t="n"/>
      <c r="K36" s="53" t="n"/>
      <c r="L36" s="53" t="n"/>
      <c r="M36" s="53" t="n"/>
      <c r="N36" s="53" t="n"/>
      <c r="O36" s="53" t="n"/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  <c r="AA36" s="53" t="n"/>
      <c r="AB36" s="53" t="n"/>
      <c r="AC36" s="53" t="n"/>
      <c r="AD36" s="53" t="n"/>
      <c r="AE36" s="53" t="n"/>
      <c r="AF36" s="2" t="n"/>
      <c r="AG36" s="53" t="n"/>
    </row>
    <row r="37" ht="15.95" customHeight="1" s="90">
      <c r="A37" s="54" t="inlineStr">
        <is>
          <t>HSA423</t>
        </is>
      </c>
      <c r="B37" s="109">
        <f>底座!H23</f>
        <v/>
      </c>
      <c r="C37" s="110">
        <f>工作台!J13</f>
        <v/>
      </c>
      <c r="D37" s="103" t="n">
        <v>0</v>
      </c>
      <c r="E37" s="103" t="n"/>
      <c r="F37" s="103" t="n"/>
      <c r="G37" s="102" t="n"/>
      <c r="H37" s="53" t="n"/>
      <c r="I37" s="53" t="n"/>
      <c r="J37" s="53" t="n"/>
      <c r="K37" s="53" t="n"/>
      <c r="L37" s="53" t="n"/>
      <c r="M37" s="53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  <c r="AA37" s="53" t="n"/>
      <c r="AB37" s="53" t="n"/>
      <c r="AC37" s="53" t="n"/>
      <c r="AD37" s="53" t="n"/>
      <c r="AE37" s="53" t="n"/>
      <c r="AF37" s="2" t="n"/>
      <c r="AG37" s="53" t="n"/>
    </row>
    <row r="38" ht="15.95" customHeight="1" s="90">
      <c r="A38" s="72" t="inlineStr">
        <is>
          <t>HAS-4265</t>
        </is>
      </c>
      <c r="B38" s="103" t="n"/>
      <c r="C38" s="103" t="n"/>
      <c r="D38" s="103" t="n"/>
      <c r="E38" s="103">
        <f>立柱!#REF!</f>
        <v/>
      </c>
      <c r="F38" s="103" t="n"/>
      <c r="G38" s="102" t="n"/>
      <c r="H38" s="53" t="n"/>
      <c r="I38" s="53" t="n"/>
      <c r="J38" s="53" t="n"/>
      <c r="K38" s="53" t="n"/>
      <c r="L38" s="53" t="n"/>
      <c r="M38" s="53" t="n"/>
      <c r="N38" s="53" t="n"/>
      <c r="O38" s="53" t="n"/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  <c r="AA38" s="53" t="n"/>
      <c r="AB38" s="53" t="n"/>
      <c r="AC38" s="53" t="n"/>
      <c r="AD38" s="53" t="n"/>
      <c r="AE38" s="53" t="n"/>
      <c r="AF38" s="2" t="n"/>
      <c r="AG38" s="53" t="n"/>
    </row>
    <row r="39" ht="15.95" customHeight="1" s="90">
      <c r="A39" s="54" t="inlineStr">
        <is>
          <t>HSA427</t>
        </is>
      </c>
      <c r="B39" s="103">
        <f>底座!H25</f>
        <v/>
      </c>
      <c r="C39" s="103" t="n"/>
      <c r="D39" s="103" t="n">
        <v>0</v>
      </c>
      <c r="E39" s="103" t="n"/>
      <c r="F39" s="103" t="n"/>
      <c r="G39" s="102" t="n"/>
      <c r="H39" s="53" t="n"/>
      <c r="I39" s="53" t="n"/>
      <c r="J39" s="53" t="n"/>
      <c r="K39" s="53" t="n"/>
      <c r="L39" s="53" t="n"/>
      <c r="M39" s="53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  <c r="AA39" s="53" t="n"/>
      <c r="AB39" s="53" t="n"/>
      <c r="AC39" s="53" t="n"/>
      <c r="AD39" s="53" t="n"/>
      <c r="AE39" s="53" t="n"/>
      <c r="AF39" s="2" t="n"/>
      <c r="AG39" s="53" t="n"/>
    </row>
    <row r="40" ht="15.95" customHeight="1" s="90">
      <c r="A40" s="72" t="inlineStr">
        <is>
          <t>HSA428</t>
        </is>
      </c>
      <c r="B40" s="103">
        <f>底座!H26</f>
        <v/>
      </c>
      <c r="C40" s="103">
        <f>工作台!J14</f>
        <v/>
      </c>
      <c r="D40" s="103" t="n">
        <v>0</v>
      </c>
      <c r="E40" s="103" t="n"/>
      <c r="F40" s="103" t="n"/>
      <c r="G40" s="102" t="n"/>
      <c r="H40" s="53" t="n"/>
      <c r="I40" s="53" t="n"/>
      <c r="J40" s="53" t="n"/>
      <c r="K40" s="53" t="n"/>
      <c r="L40" s="53" t="n"/>
      <c r="M40" s="53" t="n"/>
      <c r="N40" s="53" t="n"/>
      <c r="O40" s="53" t="n"/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  <c r="AA40" s="53" t="n"/>
      <c r="AB40" s="53" t="n"/>
      <c r="AC40" s="53" t="n"/>
      <c r="AD40" s="53" t="n"/>
      <c r="AE40" s="53" t="n"/>
      <c r="AF40" s="2" t="n"/>
      <c r="AG40" s="53" t="n"/>
    </row>
    <row r="41" ht="15.95" customHeight="1" s="90">
      <c r="A41" s="72" t="inlineStr">
        <is>
          <t>HSA4320</t>
        </is>
      </c>
      <c r="B41" s="103">
        <f>底座!#REF!</f>
        <v/>
      </c>
      <c r="C41" s="103">
        <f>工作台!#REF!</f>
        <v/>
      </c>
      <c r="D41" s="103">
        <f>橫樑!#REF!</f>
        <v/>
      </c>
      <c r="E41" s="103" t="n"/>
      <c r="F41" s="103" t="n"/>
      <c r="G41" s="102" t="n"/>
      <c r="H41" s="53" t="n"/>
      <c r="I41" s="53" t="n"/>
      <c r="J41" s="53" t="n"/>
      <c r="K41" s="53" t="n"/>
      <c r="L41" s="53" t="n"/>
      <c r="M41" s="53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  <c r="AA41" s="53" t="n"/>
      <c r="AB41" s="53" t="n"/>
      <c r="AC41" s="53" t="n"/>
      <c r="AD41" s="53" t="n"/>
      <c r="AE41" s="53" t="n"/>
      <c r="AF41" s="2" t="n"/>
      <c r="AG41" s="53" t="n"/>
    </row>
    <row r="42" ht="15.95" customHeight="1" s="90">
      <c r="A42" s="72" t="inlineStr">
        <is>
          <t>HSA436</t>
        </is>
      </c>
      <c r="B42" s="103">
        <f>底座!#REF!</f>
        <v/>
      </c>
      <c r="C42" s="103">
        <f>工作台!J15</f>
        <v/>
      </c>
      <c r="D42" s="103" t="n">
        <v>0</v>
      </c>
      <c r="E42" s="103" t="n"/>
      <c r="F42" s="103" t="n"/>
      <c r="G42" s="102" t="n"/>
      <c r="H42" s="53" t="n"/>
      <c r="I42" s="53" t="n"/>
      <c r="J42" s="53" t="n"/>
      <c r="K42" s="53" t="n"/>
      <c r="L42" s="53" t="n"/>
      <c r="M42" s="53" t="n"/>
      <c r="N42" s="53" t="n"/>
      <c r="O42" s="53" t="n"/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  <c r="AA42" s="53" t="n"/>
      <c r="AB42" s="53" t="n"/>
      <c r="AC42" s="53" t="n"/>
      <c r="AD42" s="53" t="n"/>
      <c r="AE42" s="53" t="n"/>
      <c r="AF42" s="2" t="n"/>
      <c r="AG42" s="53" t="n"/>
    </row>
    <row r="43" ht="15.95" customHeight="1" s="90">
      <c r="A43" s="54" t="inlineStr">
        <is>
          <t>HSA-523</t>
        </is>
      </c>
      <c r="B43" s="103">
        <f>底座!H27</f>
        <v/>
      </c>
      <c r="C43" s="103">
        <f>工作台!J16</f>
        <v/>
      </c>
      <c r="D43" s="103" t="n">
        <v>0</v>
      </c>
      <c r="E43" s="103" t="n"/>
      <c r="F43" s="103" t="n"/>
      <c r="G43" s="102" t="n"/>
      <c r="H43" s="53" t="n"/>
      <c r="I43" s="53" t="n"/>
      <c r="J43" s="53" t="n"/>
      <c r="K43" s="53" t="n"/>
      <c r="L43" s="53" t="n"/>
      <c r="M43" s="53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  <c r="AA43" s="53" t="n"/>
      <c r="AB43" s="53" t="n"/>
      <c r="AC43" s="53" t="n"/>
      <c r="AD43" s="53" t="n"/>
      <c r="AE43" s="53" t="n"/>
      <c r="AF43" s="2" t="n"/>
      <c r="AG43" s="53" t="n"/>
    </row>
    <row r="44" ht="15.95" customHeight="1" s="90">
      <c r="A44" s="54" t="inlineStr">
        <is>
          <t>HSA-527</t>
        </is>
      </c>
      <c r="B44" s="103">
        <f>底座!H28</f>
        <v/>
      </c>
      <c r="C44" s="103" t="n"/>
      <c r="D44" s="103" t="n"/>
      <c r="E44" s="103" t="n"/>
      <c r="F44" s="103" t="n"/>
      <c r="G44" s="102" t="n"/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  <c r="AA44" s="53" t="n"/>
      <c r="AB44" s="53" t="n"/>
      <c r="AC44" s="53" t="n"/>
      <c r="AD44" s="53" t="n"/>
      <c r="AE44" s="53" t="n"/>
      <c r="AF44" s="2" t="n"/>
      <c r="AG44" s="53" t="n"/>
    </row>
    <row r="45" ht="15.95" customHeight="1" s="90">
      <c r="A45" s="72" t="inlineStr">
        <is>
          <t>HSA528</t>
        </is>
      </c>
      <c r="B45" s="103">
        <f>底座!H29</f>
        <v/>
      </c>
      <c r="C45" s="103">
        <f>工作台!J17</f>
        <v/>
      </c>
      <c r="D45" s="103" t="n">
        <v>0</v>
      </c>
      <c r="E45" s="103" t="n"/>
      <c r="F45" s="103" t="n"/>
      <c r="G45" s="102" t="n"/>
      <c r="H45" s="53" t="n"/>
      <c r="I45" s="53" t="n"/>
      <c r="J45" s="53" t="n"/>
      <c r="K45" s="53" t="n"/>
      <c r="L45" s="53" t="n"/>
      <c r="M45" s="53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  <c r="AA45" s="53" t="n"/>
      <c r="AB45" s="53" t="n"/>
      <c r="AC45" s="53" t="n"/>
      <c r="AD45" s="53" t="n"/>
      <c r="AE45" s="53" t="n"/>
      <c r="AF45" s="2" t="n"/>
      <c r="AG45" s="53" t="n"/>
    </row>
    <row r="46" ht="15.95" customHeight="1" s="90">
      <c r="A46" s="72" t="inlineStr">
        <is>
          <t>HSA536</t>
        </is>
      </c>
      <c r="B46" s="109">
        <f>底座!H30</f>
        <v/>
      </c>
      <c r="C46" s="103">
        <f>工作台!J18</f>
        <v/>
      </c>
      <c r="D46" s="103" t="n">
        <v>0</v>
      </c>
      <c r="E46" s="103" t="n"/>
      <c r="F46" s="103" t="n"/>
      <c r="G46" s="102" t="n"/>
      <c r="H46" s="53" t="n"/>
      <c r="I46" s="53" t="n"/>
      <c r="J46" s="53" t="n"/>
      <c r="K46" s="53" t="n"/>
      <c r="L46" s="53" t="n"/>
      <c r="M46" s="53" t="n"/>
      <c r="N46" s="53" t="n"/>
      <c r="O46" s="53" t="n"/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  <c r="AA46" s="53" t="n"/>
      <c r="AB46" s="53" t="n"/>
      <c r="AC46" s="53" t="n"/>
      <c r="AD46" s="53" t="n"/>
      <c r="AE46" s="53" t="n"/>
      <c r="AF46" s="2" t="n"/>
      <c r="AG46" s="53" t="n"/>
    </row>
    <row r="47" ht="15.95" customHeight="1" s="90">
      <c r="A47" s="54" t="inlineStr">
        <is>
          <t>HSA-623主底座</t>
        </is>
      </c>
      <c r="B47" s="103">
        <f>底座!H31</f>
        <v/>
      </c>
      <c r="C47" s="103">
        <f>工作台!J19</f>
        <v/>
      </c>
      <c r="D47" s="103" t="n">
        <v>0</v>
      </c>
      <c r="E47" s="103" t="n"/>
      <c r="F47" s="103" t="n"/>
      <c r="G47" s="102" t="n"/>
      <c r="H47" s="53" t="n"/>
      <c r="I47" s="53" t="n"/>
      <c r="J47" s="53" t="n"/>
      <c r="K47" s="53" t="n"/>
      <c r="L47" s="53" t="n"/>
      <c r="M47" s="53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  <c r="AA47" s="53" t="n"/>
      <c r="AB47" s="53" t="n"/>
      <c r="AC47" s="53" t="n"/>
      <c r="AD47" s="53" t="n"/>
      <c r="AE47" s="53" t="n"/>
      <c r="AF47" s="2" t="n"/>
      <c r="AG47" s="53" t="n"/>
    </row>
    <row r="48" ht="15.95" customHeight="1" s="90">
      <c r="A48" s="54" t="inlineStr">
        <is>
          <t>HSA-623副底座</t>
        </is>
      </c>
      <c r="B48" s="103">
        <f>底座!H32</f>
        <v/>
      </c>
      <c r="C48" s="103" t="n"/>
      <c r="D48" s="103" t="n"/>
      <c r="E48" s="103" t="n"/>
      <c r="F48" s="103" t="n"/>
      <c r="G48" s="102" t="n"/>
      <c r="H48" s="53" t="n"/>
      <c r="I48" s="53" t="n"/>
      <c r="J48" s="53" t="n"/>
      <c r="K48" s="53" t="n"/>
      <c r="L48" s="53" t="n"/>
      <c r="M48" s="53" t="n"/>
      <c r="N48" s="53" t="n"/>
      <c r="O48" s="53" t="n"/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  <c r="AA48" s="53" t="n"/>
      <c r="AB48" s="53" t="n"/>
      <c r="AC48" s="53" t="n"/>
      <c r="AD48" s="53" t="n"/>
      <c r="AE48" s="53" t="n"/>
      <c r="AF48" s="2" t="n"/>
      <c r="AG48" s="53" t="n"/>
    </row>
    <row r="49" ht="15.95" customHeight="1" s="90">
      <c r="A49" s="72" t="inlineStr">
        <is>
          <t>HSA-627主底座</t>
        </is>
      </c>
      <c r="B49" s="103">
        <f>底座!H33</f>
        <v/>
      </c>
      <c r="C49" s="103" t="n"/>
      <c r="D49" s="103" t="n"/>
      <c r="E49" s="103" t="n"/>
      <c r="F49" s="103" t="n"/>
      <c r="G49" s="102" t="n"/>
      <c r="H49" s="53" t="n"/>
      <c r="I49" s="53" t="n"/>
      <c r="J49" s="53" t="n"/>
      <c r="K49" s="53" t="n"/>
      <c r="L49" s="53" t="n"/>
      <c r="M49" s="53" t="n"/>
      <c r="N49" s="53" t="n"/>
      <c r="O49" s="53" t="n"/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  <c r="AA49" s="53" t="n"/>
      <c r="AB49" s="53" t="n"/>
      <c r="AC49" s="53" t="n"/>
      <c r="AD49" s="53" t="n"/>
      <c r="AE49" s="53" t="n"/>
      <c r="AF49" s="2" t="n"/>
      <c r="AG49" s="53" t="n"/>
    </row>
    <row r="50" ht="15.95" customHeight="1" s="90">
      <c r="A50" s="72" t="inlineStr">
        <is>
          <t>HSA-627副底座</t>
        </is>
      </c>
      <c r="B50" s="103">
        <f>底座!H34</f>
        <v/>
      </c>
      <c r="C50" s="103" t="n"/>
      <c r="D50" s="103" t="n"/>
      <c r="E50" s="103" t="n"/>
      <c r="F50" s="103" t="n"/>
      <c r="G50" s="102" t="n"/>
      <c r="H50" s="53" t="n"/>
      <c r="I50" s="53" t="n"/>
      <c r="J50" s="53" t="n"/>
      <c r="K50" s="53" t="n"/>
      <c r="L50" s="53" t="n"/>
      <c r="M50" s="53" t="n"/>
      <c r="N50" s="53" t="n"/>
      <c r="O50" s="53" t="n"/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  <c r="AA50" s="53" t="n"/>
      <c r="AB50" s="53" t="n"/>
      <c r="AC50" s="53" t="n"/>
      <c r="AD50" s="53" t="n"/>
      <c r="AE50" s="53" t="n"/>
      <c r="AF50" s="2" t="n"/>
      <c r="AG50" s="53" t="n"/>
    </row>
    <row r="51" ht="15.95" customHeight="1" s="90">
      <c r="A51" s="72" t="inlineStr">
        <is>
          <t>HSA-628主底座</t>
        </is>
      </c>
      <c r="B51" s="103">
        <f>底座!H35</f>
        <v/>
      </c>
      <c r="C51" s="103">
        <f>工作台!J20</f>
        <v/>
      </c>
      <c r="D51" s="103" t="n">
        <v>0</v>
      </c>
      <c r="E51" s="103" t="n"/>
      <c r="F51" s="103" t="n"/>
      <c r="G51" s="102" t="n"/>
      <c r="H51" s="53" t="n"/>
      <c r="I51" s="53" t="n"/>
      <c r="J51" s="53" t="n"/>
      <c r="K51" s="53" t="n"/>
      <c r="L51" s="53" t="n"/>
      <c r="M51" s="53" t="n"/>
      <c r="N51" s="53" t="n"/>
      <c r="O51" s="53" t="n"/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  <c r="AA51" s="53" t="n"/>
      <c r="AB51" s="53" t="n"/>
      <c r="AC51" s="53" t="n"/>
      <c r="AD51" s="53" t="n"/>
      <c r="AE51" s="53" t="n"/>
      <c r="AF51" s="2" t="n"/>
      <c r="AG51" s="53" t="n"/>
    </row>
    <row r="52" ht="15.95" customHeight="1" s="90">
      <c r="A52" s="72" t="inlineStr">
        <is>
          <t>HSA-628副底座</t>
        </is>
      </c>
      <c r="B52" s="103">
        <f>底座!H36</f>
        <v/>
      </c>
      <c r="C52" s="103" t="n"/>
      <c r="D52" s="103" t="n">
        <v>0</v>
      </c>
      <c r="E52" s="103" t="n"/>
      <c r="F52" s="103" t="n"/>
      <c r="G52" s="102" t="n"/>
      <c r="H52" s="53" t="n"/>
      <c r="I52" s="53" t="n"/>
      <c r="J52" s="53" t="n"/>
      <c r="K52" s="53" t="n"/>
      <c r="L52" s="53" t="n"/>
      <c r="M52" s="53" t="n"/>
      <c r="N52" s="53" t="n"/>
      <c r="O52" s="53" t="n"/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  <c r="AA52" s="53" t="n"/>
      <c r="AB52" s="53" t="n"/>
      <c r="AC52" s="53" t="n"/>
      <c r="AD52" s="53" t="n"/>
      <c r="AE52" s="53" t="n"/>
      <c r="AF52" s="2" t="n"/>
      <c r="AG52" s="53" t="n"/>
    </row>
    <row r="53" ht="15.95" customHeight="1" s="90">
      <c r="A53" s="72" t="inlineStr">
        <is>
          <t>HSA-636主底座</t>
        </is>
      </c>
      <c r="B53" s="103">
        <f>底座!H37</f>
        <v/>
      </c>
      <c r="C53" s="103" t="n"/>
      <c r="D53" s="103" t="n"/>
      <c r="E53" s="103" t="n"/>
      <c r="F53" s="103" t="n"/>
      <c r="G53" s="102" t="n"/>
      <c r="H53" s="53" t="n"/>
      <c r="I53" s="53" t="n"/>
      <c r="J53" s="53" t="n"/>
      <c r="K53" s="53" t="n"/>
      <c r="L53" s="53" t="n"/>
      <c r="M53" s="53" t="n"/>
      <c r="N53" s="53" t="n"/>
      <c r="O53" s="53" t="n"/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  <c r="AA53" s="53" t="n"/>
      <c r="AB53" s="53" t="n"/>
      <c r="AC53" s="53" t="n"/>
      <c r="AD53" s="53" t="n"/>
      <c r="AE53" s="53" t="n"/>
      <c r="AF53" s="2" t="n"/>
      <c r="AG53" s="53" t="n"/>
    </row>
    <row r="54" ht="15.95" customHeight="1" s="90">
      <c r="A54" s="72" t="inlineStr">
        <is>
          <t>HSA-636副底座</t>
        </is>
      </c>
      <c r="B54" s="103">
        <f>底座!H38</f>
        <v/>
      </c>
      <c r="C54" s="103" t="n"/>
      <c r="D54" s="103" t="n"/>
      <c r="E54" s="103" t="n"/>
      <c r="F54" s="103" t="n"/>
      <c r="G54" s="102" t="n"/>
      <c r="H54" s="53" t="n"/>
      <c r="I54" s="53" t="n"/>
      <c r="J54" s="53" t="n"/>
      <c r="K54" s="53" t="n"/>
      <c r="L54" s="53" t="n"/>
      <c r="M54" s="53" t="n"/>
      <c r="N54" s="53" t="n"/>
      <c r="O54" s="53" t="n"/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  <c r="AA54" s="53" t="n"/>
      <c r="AB54" s="53" t="n"/>
      <c r="AC54" s="53" t="n"/>
      <c r="AD54" s="53" t="n"/>
      <c r="AE54" s="53" t="n"/>
      <c r="AF54" s="2" t="n"/>
      <c r="AG54" s="53" t="n"/>
    </row>
    <row r="55" ht="15.95" customHeight="1" s="90">
      <c r="A55" s="72" t="inlineStr">
        <is>
          <t>HSA-636</t>
        </is>
      </c>
      <c r="B55" s="109">
        <f>底座!#REF!</f>
        <v/>
      </c>
      <c r="C55" s="103">
        <f>工作台!J21</f>
        <v/>
      </c>
      <c r="D55" s="103" t="n">
        <v>0</v>
      </c>
      <c r="E55" s="103" t="n"/>
      <c r="F55" s="103" t="n"/>
      <c r="G55" s="102" t="n"/>
      <c r="H55" s="53" t="n"/>
      <c r="I55" s="53" t="n"/>
      <c r="J55" s="53" t="n"/>
      <c r="K55" s="53" t="n"/>
      <c r="L55" s="53" t="n"/>
      <c r="M55" s="53" t="n"/>
      <c r="N55" s="53" t="n"/>
      <c r="O55" s="53" t="n"/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  <c r="AA55" s="53" t="n"/>
      <c r="AB55" s="53" t="n"/>
      <c r="AC55" s="53" t="n"/>
      <c r="AD55" s="53" t="n"/>
      <c r="AE55" s="53" t="n"/>
      <c r="AF55" s="2" t="n"/>
      <c r="AG55" s="53" t="n"/>
    </row>
    <row r="56" ht="15.95" customHeight="1" s="90">
      <c r="A56" s="54" t="inlineStr">
        <is>
          <t>HSA-728</t>
        </is>
      </c>
      <c r="B56" s="103" t="n">
        <v>0</v>
      </c>
      <c r="C56" s="103">
        <f>工作台!J22</f>
        <v/>
      </c>
      <c r="D56" s="103" t="n">
        <v>0</v>
      </c>
      <c r="E56" s="103" t="n"/>
      <c r="F56" s="103" t="n"/>
      <c r="G56" s="102" t="n"/>
      <c r="H56" s="53" t="n"/>
      <c r="I56" s="53" t="n"/>
      <c r="J56" s="53" t="n"/>
      <c r="K56" s="53" t="n"/>
      <c r="L56" s="53" t="n"/>
      <c r="M56" s="53" t="n"/>
      <c r="N56" s="53" t="n"/>
      <c r="O56" s="53" t="n"/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  <c r="AA56" s="53" t="n"/>
      <c r="AB56" s="53" t="n"/>
      <c r="AC56" s="53" t="n"/>
      <c r="AD56" s="53" t="n"/>
      <c r="AE56" s="53" t="n"/>
      <c r="AF56" s="2" t="n"/>
      <c r="AG56" s="53" t="n"/>
    </row>
    <row r="57" ht="15.95" customHeight="1" s="90">
      <c r="A57" s="54" t="inlineStr">
        <is>
          <t>HSA-728主底座</t>
        </is>
      </c>
      <c r="B57" s="103">
        <f>底座!H39</f>
        <v/>
      </c>
      <c r="C57" s="103" t="n"/>
      <c r="D57" s="103" t="n"/>
      <c r="E57" s="103" t="n"/>
      <c r="F57" s="103" t="n"/>
      <c r="G57" s="102" t="n"/>
      <c r="H57" s="53" t="n"/>
      <c r="I57" s="53" t="n"/>
      <c r="J57" s="53" t="n"/>
      <c r="K57" s="53" t="n"/>
      <c r="L57" s="53" t="n"/>
      <c r="M57" s="53" t="n"/>
      <c r="N57" s="53" t="n"/>
      <c r="O57" s="53" t="n"/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  <c r="AA57" s="53" t="n"/>
      <c r="AB57" s="53" t="n"/>
      <c r="AC57" s="53" t="n"/>
      <c r="AD57" s="53" t="n"/>
      <c r="AE57" s="53" t="n"/>
      <c r="AF57" s="2" t="n"/>
      <c r="AG57" s="53" t="n"/>
    </row>
    <row r="58" ht="15.95" customHeight="1" s="90">
      <c r="A58" s="54" t="inlineStr">
        <is>
          <t>HSA-728副底座</t>
        </is>
      </c>
      <c r="B58" s="103">
        <f>底座!H40</f>
        <v/>
      </c>
      <c r="C58" s="103" t="n"/>
      <c r="D58" s="103" t="n"/>
      <c r="E58" s="103" t="n"/>
      <c r="F58" s="103" t="n"/>
      <c r="G58" s="102" t="n"/>
      <c r="H58" s="53" t="n"/>
      <c r="I58" s="53" t="n"/>
      <c r="J58" s="53" t="n"/>
      <c r="K58" s="53" t="n"/>
      <c r="L58" s="53" t="n"/>
      <c r="M58" s="53" t="n"/>
      <c r="N58" s="53" t="n"/>
      <c r="O58" s="53" t="n"/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  <c r="AA58" s="53" t="n"/>
      <c r="AB58" s="53" t="n"/>
      <c r="AC58" s="53" t="n"/>
      <c r="AD58" s="53" t="n"/>
      <c r="AE58" s="53" t="n"/>
      <c r="AF58" s="2" t="n"/>
      <c r="AG58" s="53" t="n"/>
    </row>
    <row r="59" ht="15.95" customHeight="1" s="90">
      <c r="A59" s="54" t="inlineStr">
        <is>
          <t>HSA-736</t>
        </is>
      </c>
      <c r="B59" s="103" t="n"/>
      <c r="C59" s="103">
        <f>工作台!J23</f>
        <v/>
      </c>
      <c r="D59" s="103" t="n"/>
      <c r="E59" s="103" t="n"/>
      <c r="F59" s="103" t="n"/>
      <c r="G59" s="102" t="n"/>
      <c r="H59" s="53" t="n"/>
      <c r="I59" s="53" t="n"/>
      <c r="J59" s="53" t="n"/>
      <c r="K59" s="53" t="n"/>
      <c r="L59" s="53" t="n"/>
      <c r="M59" s="53" t="n"/>
      <c r="N59" s="53" t="n"/>
      <c r="O59" s="53" t="n"/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  <c r="AA59" s="53" t="n"/>
      <c r="AB59" s="53" t="n"/>
      <c r="AC59" s="53" t="n"/>
      <c r="AD59" s="53" t="n"/>
      <c r="AE59" s="53" t="n"/>
      <c r="AF59" s="2" t="n"/>
      <c r="AG59" s="53" t="n"/>
    </row>
    <row r="60" ht="15.95" customHeight="1" s="90">
      <c r="A60" s="72" t="inlineStr">
        <is>
          <t>HSA-736主底座</t>
        </is>
      </c>
      <c r="B60" s="103">
        <f>底座!H41</f>
        <v/>
      </c>
      <c r="C60" s="103" t="n"/>
      <c r="D60" s="103" t="n"/>
      <c r="E60" s="103" t="n"/>
      <c r="F60" s="103" t="n"/>
      <c r="G60" s="102" t="n"/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  <c r="AA60" s="53" t="n"/>
      <c r="AB60" s="53" t="n"/>
      <c r="AC60" s="53" t="n"/>
      <c r="AD60" s="53" t="n"/>
      <c r="AE60" s="53" t="n"/>
      <c r="AF60" s="2" t="n"/>
      <c r="AG60" s="53" t="n"/>
    </row>
    <row r="61" ht="15.95" customHeight="1" s="90">
      <c r="A61" s="72" t="inlineStr">
        <is>
          <t>HSA-736副底座</t>
        </is>
      </c>
      <c r="B61" s="103">
        <f>底座!H42</f>
        <v/>
      </c>
      <c r="C61" s="103" t="n"/>
      <c r="D61" s="103" t="n"/>
      <c r="E61" s="103" t="n"/>
      <c r="F61" s="103" t="n"/>
      <c r="G61" s="102" t="n"/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  <c r="AA61" s="53" t="n"/>
      <c r="AB61" s="53" t="n"/>
      <c r="AC61" s="53" t="n"/>
      <c r="AD61" s="53" t="n"/>
      <c r="AE61" s="53" t="n"/>
      <c r="AF61" s="2" t="n"/>
      <c r="AG61" s="53" t="n"/>
    </row>
    <row r="62" ht="15.95" customHeight="1" s="90">
      <c r="A62" s="54" t="inlineStr">
        <is>
          <t>HSA-X20</t>
        </is>
      </c>
      <c r="B62" s="103" t="n"/>
      <c r="C62" s="103" t="n"/>
      <c r="D62" s="103">
        <f>橫樑!I6</f>
        <v/>
      </c>
      <c r="E62" s="103" t="n"/>
      <c r="F62" s="103" t="n"/>
      <c r="G62" s="102" t="n"/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  <c r="AA62" s="53" t="n"/>
      <c r="AB62" s="53" t="n"/>
      <c r="AC62" s="53" t="n"/>
      <c r="AD62" s="53" t="n"/>
      <c r="AE62" s="53" t="n"/>
      <c r="AF62" s="2" t="n"/>
      <c r="AG62" s="53" t="n"/>
    </row>
    <row r="63" ht="15.95" customHeight="1" s="90">
      <c r="A63" s="72" t="inlineStr">
        <is>
          <t>HSA-X20EAY</t>
        </is>
      </c>
      <c r="B63" s="103" t="n"/>
      <c r="C63" s="103" t="n"/>
      <c r="D63" s="103">
        <f>橫樑!I7</f>
        <v/>
      </c>
      <c r="E63" s="103" t="n"/>
      <c r="F63" s="103" t="n"/>
      <c r="G63" s="102" t="n"/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  <c r="AA63" s="53" t="n"/>
      <c r="AB63" s="53" t="n"/>
      <c r="AC63" s="53" t="n"/>
      <c r="AD63" s="53" t="n"/>
      <c r="AE63" s="53" t="n"/>
      <c r="AF63" s="2" t="n"/>
      <c r="AG63" s="53" t="n"/>
    </row>
    <row r="64" ht="15.95" customHeight="1" s="90">
      <c r="A64" s="54" t="inlineStr">
        <is>
          <t>HSA-X23</t>
        </is>
      </c>
      <c r="B64" s="103" t="n"/>
      <c r="C64" s="103" t="n"/>
      <c r="D64" s="103">
        <f>橫樑!I8</f>
        <v/>
      </c>
      <c r="E64" s="103" t="n"/>
      <c r="F64" s="103" t="n"/>
      <c r="G64" s="102" t="n"/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  <c r="AA64" s="53" t="n"/>
      <c r="AB64" s="53" t="n"/>
      <c r="AC64" s="53" t="n"/>
      <c r="AD64" s="53" t="n"/>
      <c r="AE64" s="53" t="n"/>
      <c r="AF64" s="2" t="n"/>
      <c r="AG64" s="53" t="n"/>
    </row>
    <row r="65" ht="15.95" customHeight="1" s="90">
      <c r="A65" s="54" t="inlineStr">
        <is>
          <t>HSA-X23EAY</t>
        </is>
      </c>
      <c r="B65" s="103" t="n"/>
      <c r="C65" s="103" t="n"/>
      <c r="D65" s="103">
        <f>橫樑!I9</f>
        <v/>
      </c>
      <c r="E65" s="103" t="n"/>
      <c r="F65" s="103" t="n"/>
      <c r="G65" s="102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  <c r="AA65" s="53" t="n"/>
      <c r="AB65" s="53" t="n"/>
      <c r="AC65" s="53" t="n"/>
      <c r="AD65" s="53" t="n"/>
      <c r="AE65" s="53" t="n"/>
      <c r="AF65" s="2" t="n"/>
      <c r="AG65" s="53" t="n"/>
    </row>
    <row r="66" ht="15.95" customHeight="1" s="90">
      <c r="A66" s="54" t="inlineStr">
        <is>
          <t>HSA-X27</t>
        </is>
      </c>
      <c r="B66" s="103" t="n"/>
      <c r="C66" s="103" t="n"/>
      <c r="D66" s="103">
        <f>橫樑!I10</f>
        <v/>
      </c>
      <c r="E66" s="103" t="n"/>
      <c r="F66" s="103" t="n"/>
      <c r="G66" s="102" t="n"/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  <c r="AA66" s="53" t="n"/>
      <c r="AB66" s="53" t="n"/>
      <c r="AC66" s="53" t="n"/>
      <c r="AD66" s="53" t="n"/>
      <c r="AE66" s="53" t="n"/>
      <c r="AF66" s="2" t="n"/>
      <c r="AG66" s="53" t="n"/>
    </row>
    <row r="67" ht="15.95" customHeight="1" s="90">
      <c r="A67" s="54" t="inlineStr">
        <is>
          <t>HSA-X27EAY</t>
        </is>
      </c>
      <c r="B67" s="103" t="n"/>
      <c r="C67" s="103" t="n"/>
      <c r="D67" s="103">
        <f>橫樑!I11</f>
        <v/>
      </c>
      <c r="E67" s="103" t="n"/>
      <c r="F67" s="103" t="n"/>
      <c r="G67" s="102" t="n"/>
      <c r="H67" s="53" t="n"/>
      <c r="I67" s="53" t="n"/>
      <c r="J67" s="53" t="n"/>
      <c r="K67" s="53" t="n"/>
      <c r="L67" s="53" t="n"/>
      <c r="M67" s="53" t="n"/>
      <c r="N67" s="53" t="n"/>
      <c r="O67" s="53" t="n"/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  <c r="AA67" s="53" t="n"/>
      <c r="AB67" s="53" t="n"/>
      <c r="AC67" s="53" t="n"/>
      <c r="AD67" s="53" t="n"/>
      <c r="AE67" s="53" t="n"/>
      <c r="AF67" s="2" t="n"/>
      <c r="AG67" s="53" t="n"/>
    </row>
    <row r="68" ht="15.95" customHeight="1" s="90">
      <c r="A68" s="72" t="inlineStr">
        <is>
          <t>HSA-X32</t>
        </is>
      </c>
      <c r="B68" s="103" t="n"/>
      <c r="C68" s="103" t="n"/>
      <c r="D68" s="103">
        <f>橫樑!I12</f>
        <v/>
      </c>
      <c r="E68" s="103" t="n"/>
      <c r="F68" s="103" t="n"/>
      <c r="G68" s="102" t="n"/>
      <c r="H68" s="53" t="n"/>
      <c r="I68" s="53" t="n"/>
      <c r="J68" s="53" t="n"/>
      <c r="K68" s="53" t="n"/>
      <c r="L68" s="53" t="n"/>
      <c r="M68" s="53" t="n"/>
      <c r="N68" s="53" t="n"/>
      <c r="O68" s="53" t="n"/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  <c r="AA68" s="53" t="n"/>
      <c r="AB68" s="53" t="n"/>
      <c r="AC68" s="53" t="n"/>
      <c r="AD68" s="53" t="n"/>
      <c r="AE68" s="53" t="n"/>
      <c r="AF68" s="2" t="n"/>
      <c r="AG68" s="53" t="n"/>
    </row>
    <row r="69" ht="15.95" customHeight="1" s="90">
      <c r="A69" s="72" t="inlineStr">
        <is>
          <t>HSA-X32EAY</t>
        </is>
      </c>
      <c r="B69" s="103" t="n"/>
      <c r="C69" s="103" t="n"/>
      <c r="D69" s="103">
        <f>橫樑!I13</f>
        <v/>
      </c>
      <c r="E69" s="103" t="n"/>
      <c r="F69" s="103" t="n"/>
      <c r="G69" s="102" t="n"/>
      <c r="H69" s="53" t="n"/>
      <c r="I69" s="53" t="n"/>
      <c r="J69" s="53" t="n"/>
      <c r="K69" s="53" t="n"/>
      <c r="L69" s="53" t="n"/>
      <c r="M69" s="53" t="n"/>
      <c r="N69" s="53" t="n"/>
      <c r="O69" s="53" t="n"/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  <c r="AA69" s="53" t="n"/>
      <c r="AB69" s="53" t="n"/>
      <c r="AC69" s="53" t="n"/>
      <c r="AD69" s="53" t="n"/>
      <c r="AE69" s="53" t="n"/>
      <c r="AF69" s="2" t="n"/>
      <c r="AG69" s="53" t="n"/>
    </row>
    <row r="70" ht="15.95" customHeight="1" s="90">
      <c r="A70" s="72" t="inlineStr">
        <is>
          <t>HSA-X36</t>
        </is>
      </c>
      <c r="B70" s="103" t="n"/>
      <c r="C70" s="103" t="n"/>
      <c r="D70" s="103">
        <f>橫樑!I15</f>
        <v/>
      </c>
      <c r="E70" s="103" t="n"/>
      <c r="F70" s="103" t="n"/>
      <c r="G70" s="102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  <c r="AA70" s="53" t="n"/>
      <c r="AB70" s="53" t="n"/>
      <c r="AC70" s="53" t="n"/>
      <c r="AD70" s="53" t="n"/>
      <c r="AE70" s="53" t="n"/>
      <c r="AF70" s="2" t="n"/>
      <c r="AG70" s="53" t="n"/>
    </row>
    <row r="71" ht="15.95" customHeight="1" s="90">
      <c r="A71" s="72" t="inlineStr">
        <is>
          <t>HSA-636-6200L</t>
        </is>
      </c>
      <c r="B71" s="103" t="n"/>
      <c r="C71" s="103" t="n"/>
      <c r="D71" s="103">
        <f>橫樑!#REF!</f>
        <v/>
      </c>
      <c r="E71" s="103" t="n"/>
      <c r="F71" s="103" t="n"/>
      <c r="G71" s="102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  <c r="AA71" s="53" t="n"/>
      <c r="AB71" s="53" t="n"/>
      <c r="AC71" s="53" t="n"/>
      <c r="AD71" s="53" t="n"/>
      <c r="AE71" s="53" t="n"/>
      <c r="AF71" s="2" t="n"/>
      <c r="AG71" s="53" t="n"/>
    </row>
    <row r="72" ht="15.95" customHeight="1" s="90">
      <c r="A72" s="54" t="inlineStr">
        <is>
          <t>HSA-X36EAY</t>
        </is>
      </c>
      <c r="B72" s="103" t="n"/>
      <c r="C72" s="103" t="n"/>
      <c r="D72" s="103">
        <f>橫樑!I14</f>
        <v/>
      </c>
      <c r="E72" s="103" t="n"/>
      <c r="F72" s="103" t="n"/>
      <c r="G72" s="102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  <c r="AA72" s="53" t="n"/>
      <c r="AB72" s="53" t="n"/>
      <c r="AC72" s="53" t="n"/>
      <c r="AD72" s="53" t="n"/>
      <c r="AE72" s="53" t="n"/>
      <c r="AF72" s="2" t="n"/>
      <c r="AG72" s="53" t="n"/>
    </row>
    <row r="73" ht="15.95" customHeight="1" s="90">
      <c r="A73" s="54" t="inlineStr">
        <is>
          <t>HSA-X46EAY</t>
        </is>
      </c>
      <c r="B73" s="103" t="n"/>
      <c r="C73" s="103" t="n"/>
      <c r="D73" s="103">
        <f>橫樑!#REF!</f>
        <v/>
      </c>
      <c r="E73" s="103" t="n"/>
      <c r="F73" s="103" t="n"/>
      <c r="G73" s="102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  <c r="AA73" s="53" t="n"/>
      <c r="AB73" s="53" t="n"/>
      <c r="AC73" s="53" t="n"/>
      <c r="AD73" s="53" t="n"/>
      <c r="AE73" s="53" t="n"/>
      <c r="AF73" s="2" t="n"/>
      <c r="AG73" s="53" t="n"/>
    </row>
    <row r="74" ht="15.95" customHeight="1" s="90">
      <c r="A74" s="54" t="inlineStr">
        <is>
          <t>TGV-106</t>
        </is>
      </c>
      <c r="B74" s="103">
        <f>底座!H71</f>
        <v/>
      </c>
      <c r="C74" s="103" t="n"/>
      <c r="D74" s="103">
        <f>橫樑!I16</f>
        <v/>
      </c>
      <c r="E74" s="103" t="n"/>
      <c r="F74" s="103" t="n"/>
      <c r="G74" s="102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  <c r="AA74" s="53" t="n"/>
      <c r="AB74" s="53" t="n"/>
      <c r="AC74" s="53" t="n"/>
      <c r="AD74" s="53" t="n"/>
      <c r="AE74" s="53" t="n"/>
      <c r="AF74" s="2" t="n"/>
      <c r="AG74" s="53" t="n"/>
    </row>
    <row r="75" ht="15.95" customHeight="1" s="90">
      <c r="A75" s="54" t="inlineStr">
        <is>
          <t>HSA-X23_NEO</t>
        </is>
      </c>
      <c r="B75" s="103" t="n"/>
      <c r="C75" s="103" t="n"/>
      <c r="D75" s="103">
        <f>橫樑!I17</f>
        <v/>
      </c>
      <c r="E75" s="103" t="n"/>
      <c r="F75" s="103" t="n"/>
      <c r="G75" s="102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  <c r="AA75" s="53" t="n"/>
      <c r="AB75" s="53" t="n"/>
      <c r="AC75" s="53" t="n"/>
      <c r="AD75" s="53" t="n"/>
      <c r="AE75" s="53" t="n"/>
      <c r="AF75" s="2" t="n"/>
      <c r="AG75" s="53" t="n"/>
    </row>
    <row r="76" ht="15.95" customHeight="1" s="90">
      <c r="A76" s="54" t="inlineStr">
        <is>
          <t>HSA-X20_NEO</t>
        </is>
      </c>
      <c r="B76" s="103" t="n"/>
      <c r="C76" s="103" t="n"/>
      <c r="D76" s="103">
        <f>橫樑!I18</f>
        <v/>
      </c>
      <c r="E76" s="103" t="n"/>
      <c r="F76" s="103" t="n"/>
      <c r="G76" s="102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  <c r="AA76" s="53" t="n"/>
      <c r="AB76" s="53" t="n"/>
      <c r="AC76" s="53" t="n"/>
      <c r="AD76" s="53" t="n"/>
      <c r="AE76" s="53" t="n"/>
      <c r="AF76" s="2" t="n"/>
      <c r="AG76" s="53" t="n"/>
    </row>
    <row r="77" ht="15.95" customHeight="1" s="90">
      <c r="A77" s="49" t="inlineStr">
        <is>
          <t>LG-500</t>
        </is>
      </c>
      <c r="B77" s="103">
        <f>底座!H60</f>
        <v/>
      </c>
      <c r="C77" s="103" t="n"/>
      <c r="D77" s="103" t="n"/>
      <c r="E77" s="103">
        <f>立柱!#REF!</f>
        <v/>
      </c>
      <c r="F77" s="103" t="n"/>
      <c r="G77" s="102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  <c r="AA77" s="53" t="n"/>
      <c r="AB77" s="53" t="n"/>
      <c r="AC77" s="53" t="n"/>
      <c r="AD77" s="53" t="n"/>
      <c r="AE77" s="53" t="n"/>
      <c r="AF77" s="2" t="n"/>
      <c r="AG77" s="53" t="n"/>
    </row>
    <row r="78" ht="15.95" customHeight="1" s="90">
      <c r="A78" s="49" t="inlineStr">
        <is>
          <t>LG-800</t>
        </is>
      </c>
      <c r="B78" s="103">
        <f>底座!H61</f>
        <v/>
      </c>
      <c r="C78" s="103" t="n"/>
      <c r="D78" s="103" t="n"/>
      <c r="E78" s="103">
        <f>立柱!G2</f>
        <v/>
      </c>
      <c r="F78" s="103" t="n"/>
      <c r="G78" s="102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  <c r="AA78" s="53" t="n"/>
      <c r="AB78" s="53" t="n"/>
      <c r="AC78" s="53" t="n"/>
      <c r="AD78" s="53" t="n"/>
      <c r="AE78" s="53" t="n"/>
      <c r="AF78" s="2" t="n"/>
      <c r="AG78" s="53" t="n"/>
    </row>
    <row r="79" ht="15.95" customHeight="1" s="90">
      <c r="A79" s="49" t="inlineStr">
        <is>
          <t>LG-1370</t>
        </is>
      </c>
      <c r="B79" s="103">
        <f>底座!H62</f>
        <v/>
      </c>
      <c r="C79" s="103" t="n"/>
      <c r="D79" s="103" t="n"/>
      <c r="E79" s="103">
        <f>立柱!G3</f>
        <v/>
      </c>
      <c r="F79" s="103" t="n"/>
      <c r="G79" s="102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  <c r="AA79" s="53" t="n"/>
      <c r="AB79" s="53" t="n"/>
      <c r="AC79" s="53" t="n"/>
      <c r="AD79" s="53" t="n"/>
      <c r="AE79" s="53" t="n"/>
      <c r="AF79" s="2" t="n"/>
      <c r="AG79" s="53" t="n"/>
    </row>
    <row r="80" ht="15.95" customHeight="1" s="90">
      <c r="A80" s="49" t="inlineStr">
        <is>
          <t>MVP-860</t>
        </is>
      </c>
      <c r="B80" s="103">
        <f>底座!H63</f>
        <v/>
      </c>
      <c r="C80" s="103" t="n"/>
      <c r="D80" s="103" t="n"/>
      <c r="E80" s="103">
        <f>立柱!G4</f>
        <v/>
      </c>
      <c r="F80" s="103" t="n"/>
      <c r="G80" s="102" t="n"/>
    </row>
    <row r="81" ht="15.95" customHeight="1" s="90">
      <c r="A81" s="49" t="inlineStr">
        <is>
          <t>MVP-1060</t>
        </is>
      </c>
      <c r="B81" s="103" t="n"/>
      <c r="C81" s="103" t="n"/>
      <c r="D81" s="103" t="n"/>
      <c r="E81" s="103" t="n"/>
      <c r="F81" s="103" t="n"/>
      <c r="G81" s="102" t="n"/>
    </row>
    <row r="82" ht="15.95" customHeight="1" s="90">
      <c r="A82" s="49" t="inlineStr">
        <is>
          <t>MVP-11</t>
        </is>
      </c>
      <c r="B82" s="103">
        <f>底座!H64</f>
        <v/>
      </c>
      <c r="C82" s="103" t="n"/>
      <c r="D82" s="103" t="n"/>
      <c r="E82" s="103">
        <f>立柱!G5</f>
        <v/>
      </c>
      <c r="F82" s="103" t="n"/>
      <c r="G82" s="102" t="n"/>
    </row>
    <row r="83" ht="15.95" customHeight="1" s="90">
      <c r="A83" s="49" t="inlineStr">
        <is>
          <t>A10</t>
        </is>
      </c>
      <c r="B83" s="103">
        <f>底座!H65</f>
        <v/>
      </c>
      <c r="C83" s="103" t="n"/>
      <c r="D83" s="103" t="n"/>
      <c r="E83" s="103">
        <f>立柱!G6</f>
        <v/>
      </c>
      <c r="F83" s="103" t="n"/>
      <c r="G83" s="102" t="n"/>
    </row>
    <row r="84" ht="15.95" customHeight="1" s="90">
      <c r="A84" s="49" t="inlineStr">
        <is>
          <t>S-PLUS</t>
        </is>
      </c>
      <c r="B84" s="103">
        <f>底座!H66</f>
        <v/>
      </c>
      <c r="C84" s="103" t="n"/>
      <c r="D84" s="103" t="n"/>
      <c r="E84" s="103">
        <f>立柱!G7</f>
        <v/>
      </c>
      <c r="F84" s="103" t="n"/>
      <c r="G84" s="102" t="n"/>
    </row>
    <row r="85" ht="15.95" customHeight="1" s="90">
      <c r="A85" s="49" t="inlineStr">
        <is>
          <t>S8</t>
        </is>
      </c>
      <c r="B85" s="103">
        <f>底座!H67</f>
        <v/>
      </c>
      <c r="C85" s="103" t="n"/>
      <c r="D85" s="103" t="n"/>
      <c r="E85" s="103">
        <f>立柱!G8</f>
        <v/>
      </c>
      <c r="F85" s="103" t="n"/>
      <c r="G85" s="102" t="n"/>
    </row>
    <row r="86" ht="15.95" customHeight="1" s="90">
      <c r="A86" s="49" t="inlineStr">
        <is>
          <t>S10</t>
        </is>
      </c>
      <c r="B86" s="103">
        <f>底座!H68</f>
        <v/>
      </c>
      <c r="C86" s="103" t="n"/>
      <c r="D86" s="103" t="n"/>
      <c r="E86" s="103">
        <f>立柱!#REF!</f>
        <v/>
      </c>
      <c r="F86" s="103" t="n"/>
      <c r="G86" s="102" t="n"/>
    </row>
    <row r="87" ht="15.95" customHeight="1" s="90">
      <c r="A87" s="72" t="inlineStr">
        <is>
          <t>PBM135-X軸(3米)</t>
        </is>
      </c>
      <c r="B87" s="103">
        <f>底座!H43</f>
        <v/>
      </c>
      <c r="C87" s="103" t="n"/>
      <c r="D87" s="103" t="n"/>
      <c r="E87" s="103" t="n"/>
      <c r="F87" s="103" t="n"/>
      <c r="G87" s="102" t="n"/>
    </row>
    <row r="88" ht="15.95" customHeight="1" s="90">
      <c r="A88" s="72" t="inlineStr">
        <is>
          <t>PBM135-X軸(4米)</t>
        </is>
      </c>
      <c r="B88" s="103">
        <f>底座!H44</f>
        <v/>
      </c>
      <c r="C88" s="103" t="n"/>
      <c r="D88" s="103" t="n"/>
      <c r="E88" s="103" t="n"/>
      <c r="F88" s="103" t="n"/>
      <c r="G88" s="102" t="n"/>
    </row>
    <row r="89" ht="15.95" customHeight="1" s="90">
      <c r="A89" s="72" t="inlineStr">
        <is>
          <t>PBM135-Z軸</t>
        </is>
      </c>
      <c r="B89" s="103">
        <f>底座!H45</f>
        <v/>
      </c>
      <c r="C89" s="103" t="n"/>
      <c r="D89" s="103" t="n"/>
      <c r="E89" s="103" t="n"/>
      <c r="F89" s="103" t="n"/>
      <c r="G89" s="102" t="n"/>
    </row>
    <row r="90" ht="15.95" customHeight="1" s="90">
      <c r="A90" s="72" t="inlineStr">
        <is>
          <t>PBM115A-X軸</t>
        </is>
      </c>
      <c r="B90" s="103">
        <f>底座!H46</f>
        <v/>
      </c>
      <c r="C90" s="103" t="n"/>
      <c r="D90" s="103" t="n"/>
      <c r="E90" s="103" t="n"/>
      <c r="F90" s="103" t="n"/>
      <c r="G90" s="102" t="n"/>
    </row>
    <row r="91" ht="15.95" customHeight="1" s="90">
      <c r="A91" s="72" t="inlineStr">
        <is>
          <t>PBM115A-Z軸</t>
        </is>
      </c>
      <c r="B91" s="103">
        <f>底座!H47</f>
        <v/>
      </c>
      <c r="C91" s="103" t="n"/>
      <c r="D91" s="103" t="n"/>
      <c r="E91" s="103" t="n"/>
      <c r="F91" s="103" t="n"/>
      <c r="G91" s="102" t="n"/>
    </row>
    <row r="92" ht="15.95" customHeight="1" s="90">
      <c r="A92" s="72" t="inlineStr">
        <is>
          <t>SW-216</t>
        </is>
      </c>
      <c r="B92" s="103">
        <f>底座!H49</f>
        <v/>
      </c>
      <c r="C92" s="103">
        <f>工作台!J24</f>
        <v/>
      </c>
      <c r="D92" s="103" t="n"/>
      <c r="E92" s="103" t="n"/>
      <c r="F92" s="103" t="n"/>
      <c r="G92" s="102" t="n"/>
    </row>
    <row r="93" ht="15.95" customHeight="1" s="90">
      <c r="A93" s="72" t="inlineStr">
        <is>
          <t>SW-2616</t>
        </is>
      </c>
      <c r="B93" s="103">
        <f>底座!#REF!</f>
        <v/>
      </c>
      <c r="C93" s="103">
        <f>工作台!J25</f>
        <v/>
      </c>
      <c r="D93" s="103" t="n"/>
      <c r="E93" s="103" t="n"/>
      <c r="F93" s="103" t="n"/>
      <c r="G93" s="102" t="n"/>
    </row>
    <row r="94" ht="15.95" customHeight="1" s="90">
      <c r="A94" s="72" t="inlineStr">
        <is>
          <t>SW-220</t>
        </is>
      </c>
      <c r="B94" s="103">
        <f>底座!H48</f>
        <v/>
      </c>
      <c r="C94" s="103">
        <f>工作台!J26</f>
        <v/>
      </c>
      <c r="D94" s="103" t="n"/>
      <c r="E94" s="103" t="n"/>
      <c r="F94" s="103" t="n"/>
      <c r="G94" s="102" t="n"/>
    </row>
    <row r="95" ht="15.95" customHeight="1" s="90">
      <c r="A95" s="72" t="inlineStr">
        <is>
          <t>SW-316</t>
        </is>
      </c>
      <c r="B95" s="103">
        <f>底座!H50</f>
        <v/>
      </c>
      <c r="C95" s="103">
        <f>工作台!J27</f>
        <v/>
      </c>
      <c r="D95" s="103" t="n"/>
      <c r="E95" s="103" t="n"/>
      <c r="F95" s="103" t="n"/>
      <c r="G95" s="102" t="n"/>
    </row>
    <row r="96" ht="15.95" customHeight="1" s="90">
      <c r="A96" s="72" t="inlineStr">
        <is>
          <t>SW-320</t>
        </is>
      </c>
      <c r="B96" s="103">
        <f>底座!H51</f>
        <v/>
      </c>
      <c r="C96" s="103">
        <f>工作台!J28</f>
        <v/>
      </c>
      <c r="D96" s="103" t="n"/>
      <c r="E96" s="103" t="n"/>
      <c r="F96" s="103" t="n"/>
      <c r="G96" s="102" t="n"/>
    </row>
    <row r="97" ht="15.95" customHeight="1" s="90">
      <c r="A97" s="72" t="inlineStr">
        <is>
          <t>SW323</t>
        </is>
      </c>
      <c r="B97" s="103">
        <f>底座!H52</f>
        <v/>
      </c>
      <c r="C97" s="103">
        <f>工作台!J29</f>
        <v/>
      </c>
      <c r="D97" s="103" t="n"/>
      <c r="E97" s="103" t="n"/>
      <c r="F97" s="103" t="n"/>
      <c r="G97" s="102" t="n"/>
    </row>
    <row r="98" ht="15.95" customHeight="1" s="90">
      <c r="A98" s="72" t="inlineStr">
        <is>
          <t>SW326</t>
        </is>
      </c>
      <c r="B98" s="103">
        <f>底座!H53</f>
        <v/>
      </c>
      <c r="C98" s="103">
        <f>工作台!J30</f>
        <v/>
      </c>
      <c r="D98" s="103" t="n"/>
      <c r="E98" s="103" t="n"/>
      <c r="F98" s="103" t="n"/>
      <c r="G98" s="102" t="n"/>
    </row>
    <row r="99" ht="15.95" customHeight="1" s="90">
      <c r="A99" s="72" t="inlineStr">
        <is>
          <t>SW416</t>
        </is>
      </c>
      <c r="B99" s="103">
        <f>底座!H56</f>
        <v/>
      </c>
      <c r="C99" s="103">
        <f>工作台!J31</f>
        <v/>
      </c>
      <c r="D99" s="103" t="n"/>
      <c r="E99" s="103" t="n"/>
      <c r="F99" s="103" t="n"/>
      <c r="G99" s="102" t="n"/>
    </row>
    <row r="100" ht="15.95" customHeight="1" s="90">
      <c r="A100" s="72" t="inlineStr">
        <is>
          <t>SW420</t>
        </is>
      </c>
      <c r="B100" s="103">
        <f>底座!H54</f>
        <v/>
      </c>
      <c r="C100" s="103">
        <f>工作台!J32</f>
        <v/>
      </c>
      <c r="D100" s="103" t="n"/>
      <c r="E100" s="103" t="n"/>
      <c r="F100" s="103" t="n"/>
      <c r="G100" s="102" t="n"/>
    </row>
    <row r="101" ht="15.95" customHeight="1" s="90">
      <c r="A101" s="72" t="inlineStr">
        <is>
          <t>SW423</t>
        </is>
      </c>
      <c r="B101" s="103">
        <f>底座!H55</f>
        <v/>
      </c>
      <c r="C101" s="103">
        <f>工作台!J33</f>
        <v/>
      </c>
      <c r="D101" s="103" t="n"/>
      <c r="E101" s="103" t="n"/>
      <c r="F101" s="103" t="n"/>
      <c r="G101" s="102" t="n"/>
    </row>
    <row r="102" ht="15.95" customHeight="1" s="90">
      <c r="A102" s="72" t="inlineStr">
        <is>
          <t>SW-426</t>
        </is>
      </c>
      <c r="B102" s="103">
        <f>底座!H57</f>
        <v/>
      </c>
      <c r="C102" s="103">
        <f>工作台!J34</f>
        <v/>
      </c>
      <c r="D102" s="103" t="n"/>
      <c r="E102" s="103" t="n"/>
      <c r="F102" s="103" t="n"/>
      <c r="G102" s="102" t="n"/>
    </row>
    <row r="103" ht="15.95" customHeight="1" s="90">
      <c r="A103" s="72" t="inlineStr">
        <is>
          <t>SW-4350</t>
        </is>
      </c>
      <c r="B103" s="103">
        <f>底座!#REF!</f>
        <v/>
      </c>
      <c r="C103" s="103">
        <f>工作台!#REF!</f>
        <v/>
      </c>
      <c r="D103" s="103" t="n"/>
      <c r="E103" s="103" t="n"/>
      <c r="F103" s="103" t="n"/>
      <c r="G103" s="102" t="n"/>
    </row>
    <row r="104">
      <c r="A104" s="72" t="inlineStr">
        <is>
          <t>SW-523</t>
        </is>
      </c>
      <c r="B104" s="103">
        <f>底座!H58</f>
        <v/>
      </c>
      <c r="C104" s="103">
        <f>工作台!J35</f>
        <v/>
      </c>
      <c r="D104" s="103" t="n"/>
      <c r="E104" s="103" t="n"/>
      <c r="F104" s="103" t="n"/>
      <c r="G104" s="102" t="n"/>
    </row>
    <row r="105">
      <c r="A105" s="72" t="inlineStr">
        <is>
          <t>SW-526</t>
        </is>
      </c>
      <c r="B105" s="103">
        <f>底座!H59</f>
        <v/>
      </c>
      <c r="C105" s="103">
        <f>工作台!J37</f>
        <v/>
      </c>
      <c r="D105" s="103" t="n"/>
      <c r="E105" s="103" t="n"/>
      <c r="F105" s="103" t="n"/>
      <c r="G105" s="102" t="n"/>
    </row>
    <row r="106">
      <c r="A106" s="72" t="inlineStr">
        <is>
          <t>SW-623</t>
        </is>
      </c>
      <c r="B106" s="103" t="n"/>
      <c r="C106" s="103">
        <f>工作台!J36</f>
        <v/>
      </c>
      <c r="D106" s="103" t="n"/>
      <c r="E106" s="103" t="n"/>
      <c r="F106" s="103" t="n"/>
      <c r="G106" s="102" t="n"/>
    </row>
    <row r="107">
      <c r="A107" s="72" t="inlineStr">
        <is>
          <t>SW-626</t>
        </is>
      </c>
      <c r="B107" s="103" t="n">
        <v>0</v>
      </c>
      <c r="C107" s="103">
        <f>工作台!#REF!</f>
        <v/>
      </c>
      <c r="D107" s="103" t="n"/>
      <c r="E107" s="103" t="n"/>
      <c r="F107" s="103" t="n"/>
      <c r="G107" s="102" t="n"/>
    </row>
    <row r="108">
      <c r="A108" s="72" t="inlineStr">
        <is>
          <t>SW-5350</t>
        </is>
      </c>
      <c r="B108" s="103" t="n">
        <v>0</v>
      </c>
      <c r="C108" s="103">
        <f>工作台!#REF!</f>
        <v/>
      </c>
      <c r="D108" s="103" t="n"/>
      <c r="E108" s="103" t="n"/>
      <c r="F108" s="103" t="n"/>
      <c r="G108" s="102" t="n"/>
    </row>
    <row r="109">
      <c r="A109" s="72" t="inlineStr">
        <is>
          <t>SW-6350</t>
        </is>
      </c>
      <c r="B109" s="103" t="n"/>
      <c r="C109" s="103" t="n">
        <v>0</v>
      </c>
      <c r="D109" s="103" t="n"/>
      <c r="E109" s="103" t="n"/>
      <c r="F109" s="103" t="n"/>
      <c r="G109" s="102" t="n"/>
    </row>
    <row r="110">
      <c r="A110" s="72" t="inlineStr">
        <is>
          <t>VW4340</t>
        </is>
      </c>
      <c r="B110" s="103" t="n">
        <v>0</v>
      </c>
      <c r="C110" s="103">
        <f>工作台!#REF!</f>
        <v/>
      </c>
      <c r="D110" s="103" t="n"/>
      <c r="E110" s="103" t="n"/>
      <c r="F110" s="103" t="n"/>
      <c r="G110" s="102" t="n"/>
    </row>
    <row r="111">
      <c r="A111" s="72" t="inlineStr">
        <is>
          <t>VW7340</t>
        </is>
      </c>
      <c r="B111" s="103">
        <f>底座!#REF!</f>
        <v/>
      </c>
      <c r="C111" s="103">
        <f>工作台!#REF!</f>
        <v/>
      </c>
      <c r="D111" s="103" t="n"/>
      <c r="E111" s="103">
        <f>立柱!#REF!</f>
        <v/>
      </c>
      <c r="F111" s="103" t="n"/>
      <c r="G111" s="102" t="n"/>
    </row>
    <row r="112">
      <c r="A112" s="72" t="inlineStr">
        <is>
          <t>VW5430</t>
        </is>
      </c>
      <c r="B112" s="103" t="n"/>
      <c r="C112" s="103">
        <f>工作台!#REF!</f>
        <v/>
      </c>
      <c r="D112" s="103" t="n"/>
      <c r="E112" s="103" t="n"/>
      <c r="F112" s="103" t="n"/>
      <c r="G112" s="102" t="n"/>
    </row>
    <row r="113">
      <c r="A113" s="72" t="inlineStr">
        <is>
          <t>VW-X340定樑</t>
        </is>
      </c>
      <c r="B113" s="106" t="n"/>
      <c r="C113" s="106" t="n"/>
      <c r="D113" s="106" t="n"/>
      <c r="E113" s="106" t="n"/>
      <c r="F113" s="106" t="n"/>
      <c r="G113" s="102" t="n">
        <v>1</v>
      </c>
    </row>
    <row r="114">
      <c r="A114" s="54" t="inlineStr">
        <is>
          <t>5BC-4300</t>
        </is>
      </c>
      <c r="B114" s="106" t="n"/>
      <c r="C114" s="106" t="n"/>
      <c r="D114" s="106" t="n"/>
      <c r="E114" s="103">
        <f>立柱!#REF!</f>
        <v/>
      </c>
      <c r="F114" s="106" t="n"/>
      <c r="G114" s="107" t="n"/>
    </row>
    <row r="115">
      <c r="A115" s="79" t="inlineStr">
        <is>
          <t>LG-1370_NEO</t>
        </is>
      </c>
      <c r="B115" s="103">
        <f>底座!H69</f>
        <v/>
      </c>
      <c r="C115" s="103" t="n"/>
      <c r="D115" s="103" t="n"/>
      <c r="E115" s="103">
        <f>立柱!G9</f>
        <v/>
      </c>
      <c r="F115" s="103" t="n"/>
      <c r="G115" s="102" t="n"/>
    </row>
    <row r="116">
      <c r="A116" s="79" t="inlineStr">
        <is>
          <t>LG-1000_NEO</t>
        </is>
      </c>
      <c r="B116" s="103">
        <f>底座!H70</f>
        <v/>
      </c>
      <c r="C116" s="103" t="n"/>
      <c r="D116" s="103" t="n"/>
      <c r="E116" s="103">
        <f>立柱!#REF!</f>
        <v/>
      </c>
      <c r="F116" s="103" t="n"/>
      <c r="G116" s="102" t="n"/>
    </row>
    <row r="117">
      <c r="A117" s="79" t="inlineStr">
        <is>
          <t>MVP-11_Dynamic</t>
        </is>
      </c>
      <c r="B117" s="106" t="n"/>
      <c r="C117" s="106" t="n"/>
      <c r="D117" s="106" t="n"/>
      <c r="E117" s="103">
        <f>立柱!#REF!</f>
        <v/>
      </c>
      <c r="F117" s="106" t="n"/>
      <c r="G117" s="107" t="n"/>
    </row>
    <row r="118">
      <c r="A118" s="79" t="inlineStr">
        <is>
          <t>LG-1000_NEO</t>
        </is>
      </c>
      <c r="B118" s="106" t="n"/>
      <c r="C118" s="106" t="n"/>
      <c r="D118" s="106" t="n"/>
      <c r="E118" s="103">
        <f>立柱!#REF!</f>
        <v/>
      </c>
      <c r="F118" s="106" t="n"/>
      <c r="G118" s="107" t="n"/>
    </row>
    <row r="119">
      <c r="A119" s="80" t="inlineStr">
        <is>
          <t>LG-1000_NEO+100H</t>
        </is>
      </c>
      <c r="B119" s="106" t="n"/>
      <c r="C119" s="106" t="n"/>
      <c r="D119" s="106" t="n"/>
      <c r="E119" s="103">
        <f>立柱!#REF!</f>
        <v/>
      </c>
      <c r="F119" s="106" t="n"/>
      <c r="G119" s="107" t="n"/>
    </row>
    <row r="120">
      <c r="A120" s="53" t="n"/>
      <c r="B120" s="105" t="n"/>
      <c r="C120" s="105" t="n"/>
      <c r="D120" s="105" t="n"/>
      <c r="E120" s="105" t="n"/>
      <c r="F120" s="105" t="n"/>
    </row>
    <row r="121">
      <c r="A121" s="53" t="n"/>
      <c r="B121" s="105" t="n"/>
      <c r="C121" s="105" t="n"/>
      <c r="D121" s="105" t="n"/>
      <c r="E121" s="105" t="n"/>
      <c r="F121" s="105" t="n"/>
    </row>
    <row r="122">
      <c r="A122" s="53" t="n"/>
      <c r="B122" s="105" t="n"/>
      <c r="C122" s="105" t="n"/>
      <c r="D122" s="105" t="n"/>
      <c r="E122" s="105" t="n"/>
      <c r="F122" s="105" t="n"/>
    </row>
    <row r="123">
      <c r="A123" s="53" t="n"/>
      <c r="B123" s="105" t="n"/>
      <c r="C123" s="105" t="n"/>
      <c r="D123" s="105" t="n"/>
      <c r="E123" s="105" t="n"/>
      <c r="F123" s="105" t="n"/>
    </row>
    <row r="124">
      <c r="A124" s="53" t="n"/>
      <c r="B124" s="105" t="n"/>
      <c r="C124" s="105" t="n"/>
      <c r="D124" s="105" t="n"/>
      <c r="E124" s="105" t="n"/>
      <c r="F124" s="105" t="n"/>
    </row>
    <row r="125">
      <c r="A125" s="53" t="n"/>
      <c r="B125" s="105" t="n"/>
      <c r="C125" s="105" t="n"/>
      <c r="D125" s="105" t="n"/>
      <c r="E125" s="105" t="n"/>
      <c r="F125" s="105" t="n"/>
    </row>
    <row r="126">
      <c r="A126" s="53" t="n"/>
      <c r="B126" s="105" t="n"/>
      <c r="C126" s="105" t="n"/>
      <c r="D126" s="105" t="n"/>
      <c r="E126" s="105" t="n"/>
      <c r="F126" s="105" t="n"/>
    </row>
    <row r="127">
      <c r="A127" s="53" t="n"/>
      <c r="B127" s="105" t="n"/>
      <c r="C127" s="105" t="n"/>
      <c r="D127" s="105" t="n"/>
      <c r="E127" s="105" t="n"/>
      <c r="F127" s="105" t="n"/>
    </row>
    <row r="128">
      <c r="A128" s="53" t="n"/>
      <c r="B128" s="105" t="n"/>
      <c r="C128" s="105" t="n"/>
      <c r="D128" s="105" t="n"/>
      <c r="E128" s="105" t="n"/>
      <c r="F128" s="105" t="n"/>
    </row>
    <row r="129">
      <c r="A129" s="53" t="n"/>
      <c r="B129" s="105" t="n"/>
      <c r="C129" s="105" t="n"/>
      <c r="D129" s="105" t="n"/>
      <c r="E129" s="105" t="n"/>
      <c r="F129" s="105" t="n"/>
    </row>
    <row r="130">
      <c r="A130" s="53" t="n"/>
      <c r="B130" s="105" t="n"/>
      <c r="C130" s="105" t="n"/>
      <c r="D130" s="105" t="n"/>
      <c r="E130" s="105" t="n"/>
      <c r="F130" s="105" t="n"/>
    </row>
    <row r="131">
      <c r="A131" s="53" t="n"/>
      <c r="B131" s="105" t="n"/>
      <c r="C131" s="105" t="n"/>
      <c r="D131" s="105" t="n"/>
      <c r="E131" s="105" t="n"/>
      <c r="F131" s="105" t="n"/>
    </row>
    <row r="132">
      <c r="A132" s="53" t="n"/>
      <c r="B132" s="105" t="n"/>
      <c r="C132" s="105" t="n"/>
      <c r="D132" s="105" t="n"/>
      <c r="E132" s="105" t="n"/>
      <c r="F132" s="105" t="n"/>
    </row>
    <row r="133">
      <c r="A133" s="53" t="n"/>
      <c r="B133" s="105" t="n"/>
      <c r="C133" s="105" t="n"/>
      <c r="D133" s="105" t="n"/>
      <c r="E133" s="105" t="n"/>
      <c r="F133" s="105" t="n"/>
    </row>
    <row r="134">
      <c r="A134" s="53" t="n"/>
      <c r="B134" s="105" t="n"/>
      <c r="C134" s="105" t="n"/>
      <c r="D134" s="105" t="n"/>
      <c r="E134" s="105" t="n"/>
      <c r="F134" s="105" t="n"/>
    </row>
    <row r="135">
      <c r="A135" s="53" t="n"/>
      <c r="B135" s="105" t="n"/>
      <c r="C135" s="105" t="n"/>
      <c r="D135" s="105" t="n"/>
      <c r="E135" s="105" t="n"/>
      <c r="F135" s="105" t="n"/>
    </row>
    <row r="136">
      <c r="A136" s="53" t="n"/>
      <c r="B136" s="105" t="n"/>
      <c r="C136" s="105" t="n"/>
      <c r="D136" s="105" t="n"/>
      <c r="E136" s="105" t="n"/>
      <c r="F136" s="105" t="n"/>
    </row>
    <row r="137">
      <c r="A137" s="53" t="n"/>
      <c r="B137" s="105" t="n"/>
      <c r="C137" s="105" t="n"/>
      <c r="D137" s="105" t="n"/>
      <c r="E137" s="105" t="n"/>
      <c r="F137" s="105" t="n"/>
    </row>
    <row r="138">
      <c r="A138" s="53" t="n"/>
      <c r="B138" s="105" t="n"/>
      <c r="C138" s="105" t="n"/>
      <c r="D138" s="105" t="n"/>
      <c r="E138" s="105" t="n"/>
      <c r="F138" s="105" t="n"/>
    </row>
    <row r="139">
      <c r="A139" s="53" t="n"/>
      <c r="B139" s="105" t="n"/>
      <c r="C139" s="105" t="n"/>
      <c r="D139" s="105" t="n"/>
      <c r="E139" s="105" t="n"/>
      <c r="F139" s="105" t="n"/>
    </row>
    <row r="140">
      <c r="A140" s="53" t="n"/>
      <c r="B140" s="105" t="n"/>
      <c r="C140" s="105" t="n"/>
      <c r="D140" s="105" t="n"/>
      <c r="E140" s="105" t="n"/>
      <c r="F140" s="105" t="n"/>
    </row>
    <row r="141">
      <c r="A141" s="53" t="n"/>
      <c r="B141" s="105" t="n"/>
      <c r="C141" s="105" t="n"/>
      <c r="D141" s="105" t="n"/>
      <c r="E141" s="105" t="n"/>
      <c r="F141" s="105" t="n"/>
    </row>
    <row r="142">
      <c r="A142" s="53" t="n"/>
      <c r="B142" s="105" t="n"/>
      <c r="C142" s="105" t="n"/>
      <c r="D142" s="105" t="n"/>
      <c r="E142" s="105" t="n"/>
      <c r="F142" s="105" t="n"/>
    </row>
    <row r="143">
      <c r="A143" s="53" t="n"/>
      <c r="B143" s="105" t="n"/>
      <c r="C143" s="105" t="n"/>
      <c r="D143" s="105" t="n"/>
      <c r="E143" s="105" t="n"/>
      <c r="F143" s="105" t="n"/>
    </row>
    <row r="144">
      <c r="A144" s="53" t="n"/>
      <c r="B144" s="105" t="n"/>
      <c r="C144" s="105" t="n"/>
      <c r="D144" s="105" t="n"/>
      <c r="E144" s="105" t="n"/>
      <c r="F144" s="105" t="n"/>
    </row>
    <row r="145">
      <c r="A145" s="53" t="n"/>
      <c r="B145" s="105" t="n"/>
      <c r="C145" s="105" t="n"/>
      <c r="D145" s="105" t="n"/>
      <c r="E145" s="105" t="n"/>
      <c r="F145" s="105" t="n"/>
    </row>
    <row r="146">
      <c r="A146" s="53" t="n"/>
      <c r="B146" s="105" t="n"/>
      <c r="C146" s="105" t="n"/>
      <c r="D146" s="105" t="n"/>
      <c r="E146" s="105" t="n"/>
      <c r="F146" s="105" t="n"/>
    </row>
    <row r="147">
      <c r="A147" s="53" t="n"/>
      <c r="B147" s="105" t="n"/>
      <c r="C147" s="105" t="n"/>
      <c r="D147" s="105" t="n"/>
      <c r="E147" s="105" t="n"/>
      <c r="F147" s="105" t="n"/>
    </row>
    <row r="148">
      <c r="A148" s="53" t="n"/>
      <c r="B148" s="105" t="n"/>
      <c r="C148" s="105" t="n"/>
      <c r="D148" s="105" t="n"/>
      <c r="E148" s="105" t="n"/>
      <c r="F148" s="105" t="n"/>
    </row>
    <row r="149">
      <c r="A149" s="53" t="n"/>
      <c r="B149" s="105" t="n"/>
      <c r="C149" s="105" t="n"/>
      <c r="D149" s="105" t="n"/>
      <c r="E149" s="105" t="n"/>
      <c r="F149" s="105" t="n"/>
    </row>
    <row r="150">
      <c r="A150" s="53" t="n"/>
      <c r="B150" s="105" t="n"/>
      <c r="C150" s="105" t="n"/>
      <c r="D150" s="105" t="n"/>
      <c r="E150" s="105" t="n"/>
      <c r="F150" s="105" t="n"/>
    </row>
    <row r="151">
      <c r="A151" s="53" t="n"/>
      <c r="B151" s="105" t="n"/>
      <c r="C151" s="105" t="n"/>
      <c r="D151" s="105" t="n"/>
      <c r="E151" s="105" t="n"/>
      <c r="F151" s="105" t="n"/>
    </row>
    <row r="152">
      <c r="A152" s="53" t="n"/>
      <c r="B152" s="105" t="n"/>
      <c r="C152" s="105" t="n"/>
      <c r="D152" s="105" t="n"/>
      <c r="E152" s="105" t="n"/>
      <c r="F152" s="105" t="n"/>
    </row>
    <row r="153">
      <c r="A153" s="53" t="n"/>
      <c r="B153" s="105" t="n"/>
      <c r="C153" s="105" t="n"/>
      <c r="D153" s="105" t="n"/>
      <c r="E153" s="105" t="n"/>
      <c r="F153" s="105" t="n"/>
    </row>
    <row r="154">
      <c r="A154" s="53" t="n"/>
      <c r="B154" s="105" t="n"/>
      <c r="C154" s="105" t="n"/>
      <c r="D154" s="105" t="n"/>
      <c r="E154" s="105" t="n"/>
      <c r="F154" s="105" t="n"/>
    </row>
    <row r="155">
      <c r="A155" s="53" t="n"/>
      <c r="B155" s="105" t="n"/>
      <c r="C155" s="105" t="n"/>
      <c r="D155" s="105" t="n"/>
      <c r="E155" s="105" t="n"/>
      <c r="F155" s="105" t="n"/>
    </row>
    <row r="156">
      <c r="A156" s="53" t="n"/>
      <c r="B156" s="105" t="n"/>
      <c r="C156" s="105" t="n"/>
      <c r="D156" s="105" t="n"/>
      <c r="E156" s="105" t="n"/>
      <c r="F156" s="105" t="n"/>
    </row>
    <row r="157">
      <c r="A157" s="53" t="n"/>
      <c r="B157" s="105" t="n"/>
      <c r="C157" s="105" t="n"/>
      <c r="D157" s="105" t="n"/>
      <c r="E157" s="105" t="n"/>
      <c r="F157" s="105" t="n"/>
    </row>
    <row r="158">
      <c r="A158" s="53" t="n"/>
      <c r="B158" s="105" t="n"/>
      <c r="C158" s="105" t="n"/>
      <c r="D158" s="105" t="n"/>
      <c r="E158" s="105" t="n"/>
      <c r="F158" s="105" t="n"/>
    </row>
    <row r="159">
      <c r="A159" s="53" t="n"/>
      <c r="B159" s="105" t="n"/>
      <c r="C159" s="105" t="n"/>
      <c r="D159" s="105" t="n"/>
      <c r="E159" s="105" t="n"/>
      <c r="F159" s="105" t="n"/>
    </row>
    <row r="160">
      <c r="A160" s="53" t="n"/>
      <c r="B160" s="105" t="n"/>
      <c r="C160" s="105" t="n"/>
      <c r="D160" s="105" t="n"/>
      <c r="E160" s="105" t="n"/>
      <c r="F160" s="105" t="n"/>
    </row>
    <row r="161">
      <c r="A161" s="53" t="n"/>
      <c r="B161" s="105" t="n"/>
      <c r="C161" s="105" t="n"/>
      <c r="D161" s="105" t="n"/>
      <c r="E161" s="105" t="n"/>
      <c r="F161" s="105" t="n"/>
    </row>
    <row r="162">
      <c r="A162" s="53" t="n"/>
      <c r="B162" s="105" t="n"/>
      <c r="C162" s="105" t="n"/>
      <c r="D162" s="105" t="n"/>
      <c r="E162" s="105" t="n"/>
      <c r="F162" s="105" t="n"/>
    </row>
    <row r="163">
      <c r="A163" s="53" t="n"/>
      <c r="B163" s="105" t="n"/>
      <c r="C163" s="105" t="n"/>
      <c r="D163" s="105" t="n"/>
      <c r="E163" s="105" t="n"/>
      <c r="F163" s="105" t="n"/>
    </row>
    <row r="164">
      <c r="A164" s="53" t="n"/>
      <c r="B164" s="105" t="n"/>
      <c r="C164" s="105" t="n"/>
      <c r="D164" s="105" t="n"/>
      <c r="E164" s="105" t="n"/>
      <c r="F164" s="105" t="n"/>
    </row>
    <row r="165">
      <c r="A165" s="53" t="n"/>
      <c r="B165" s="105" t="n"/>
      <c r="C165" s="105" t="n"/>
      <c r="D165" s="105" t="n"/>
      <c r="E165" s="105" t="n"/>
      <c r="F165" s="105" t="n"/>
    </row>
    <row r="166">
      <c r="A166" s="53" t="n"/>
      <c r="B166" s="105" t="n"/>
      <c r="C166" s="105" t="n"/>
      <c r="D166" s="105" t="n"/>
      <c r="E166" s="105" t="n"/>
      <c r="F166" s="105" t="n"/>
    </row>
    <row r="167">
      <c r="A167" s="53" t="n"/>
      <c r="B167" s="105" t="n"/>
      <c r="C167" s="105" t="n"/>
      <c r="D167" s="105" t="n"/>
      <c r="E167" s="105" t="n"/>
      <c r="F167" s="105" t="n"/>
    </row>
    <row r="168">
      <c r="A168" s="53" t="n"/>
      <c r="B168" s="105" t="n"/>
      <c r="C168" s="105" t="n"/>
      <c r="D168" s="105" t="n"/>
      <c r="E168" s="105" t="n"/>
      <c r="F168" s="105" t="n"/>
    </row>
    <row r="169">
      <c r="A169" s="53" t="n"/>
      <c r="B169" s="105" t="n"/>
      <c r="C169" s="105" t="n"/>
      <c r="D169" s="105" t="n"/>
      <c r="E169" s="105" t="n"/>
      <c r="F169" s="105" t="n"/>
    </row>
    <row r="170">
      <c r="A170" s="53" t="n"/>
      <c r="B170" s="105" t="n"/>
      <c r="C170" s="105" t="n"/>
      <c r="D170" s="105" t="n"/>
      <c r="E170" s="105" t="n"/>
      <c r="F170" s="105" t="n"/>
    </row>
    <row r="171">
      <c r="A171" s="53" t="n"/>
      <c r="B171" s="105" t="n"/>
      <c r="C171" s="105" t="n"/>
      <c r="D171" s="105" t="n"/>
      <c r="E171" s="105" t="n"/>
      <c r="F171" s="105" t="n"/>
    </row>
    <row r="172">
      <c r="A172" s="53" t="n"/>
      <c r="B172" s="105" t="n"/>
      <c r="C172" s="105" t="n"/>
      <c r="D172" s="105" t="n"/>
      <c r="E172" s="105" t="n"/>
      <c r="F172" s="105" t="n"/>
    </row>
    <row r="173">
      <c r="A173" s="53" t="n"/>
      <c r="B173" s="105" t="n"/>
      <c r="C173" s="105" t="n"/>
      <c r="D173" s="105" t="n"/>
      <c r="E173" s="105" t="n"/>
      <c r="F173" s="105" t="n"/>
    </row>
    <row r="174">
      <c r="A174" s="53" t="n"/>
      <c r="B174" s="105" t="n"/>
      <c r="C174" s="105" t="n"/>
      <c r="D174" s="105" t="n"/>
      <c r="E174" s="105" t="n"/>
      <c r="F174" s="105" t="n"/>
    </row>
    <row r="175">
      <c r="A175" s="53" t="n"/>
      <c r="B175" s="105" t="n"/>
      <c r="C175" s="105" t="n"/>
      <c r="D175" s="105" t="n"/>
      <c r="E175" s="105" t="n"/>
      <c r="F175" s="105" t="n"/>
    </row>
    <row r="176">
      <c r="A176" s="53" t="n"/>
      <c r="B176" s="105" t="n"/>
      <c r="C176" s="105" t="n"/>
      <c r="D176" s="105" t="n"/>
      <c r="E176" s="105" t="n"/>
      <c r="F176" s="105" t="n"/>
    </row>
    <row r="177">
      <c r="A177" s="53" t="n"/>
      <c r="B177" s="105" t="n"/>
      <c r="C177" s="105" t="n"/>
      <c r="D177" s="105" t="n"/>
      <c r="E177" s="105" t="n"/>
      <c r="F177" s="105" t="n"/>
    </row>
    <row r="178">
      <c r="A178" s="53" t="n"/>
      <c r="B178" s="105" t="n"/>
      <c r="C178" s="105" t="n"/>
      <c r="D178" s="105" t="n"/>
      <c r="E178" s="105" t="n"/>
      <c r="F178" s="105" t="n"/>
    </row>
    <row r="179">
      <c r="A179" s="53" t="n"/>
      <c r="B179" s="105" t="n"/>
      <c r="C179" s="105" t="n"/>
      <c r="D179" s="105" t="n"/>
      <c r="E179" s="105" t="n"/>
      <c r="F179" s="105" t="n"/>
    </row>
    <row r="180">
      <c r="A180" s="53" t="n"/>
      <c r="B180" s="105" t="n"/>
      <c r="C180" s="105" t="n"/>
      <c r="D180" s="105" t="n"/>
      <c r="E180" s="105" t="n"/>
      <c r="F180" s="105" t="n"/>
    </row>
    <row r="181">
      <c r="A181" s="53" t="n"/>
      <c r="B181" s="105" t="n"/>
      <c r="C181" s="105" t="n"/>
      <c r="D181" s="105" t="n"/>
      <c r="E181" s="105" t="n"/>
      <c r="F181" s="105" t="n"/>
    </row>
    <row r="182">
      <c r="A182" s="53" t="n"/>
      <c r="B182" s="105" t="n"/>
      <c r="C182" s="105" t="n"/>
      <c r="D182" s="105" t="n"/>
      <c r="E182" s="105" t="n"/>
      <c r="F182" s="105" t="n"/>
    </row>
    <row r="183">
      <c r="A183" s="53" t="n"/>
      <c r="B183" s="105" t="n"/>
      <c r="C183" s="105" t="n"/>
      <c r="D183" s="105" t="n"/>
      <c r="E183" s="105" t="n"/>
      <c r="F183" s="105" t="n"/>
    </row>
    <row r="184">
      <c r="A184" s="53" t="n"/>
      <c r="B184" s="105" t="n"/>
      <c r="C184" s="105" t="n"/>
      <c r="D184" s="105" t="n"/>
      <c r="E184" s="105" t="n"/>
      <c r="F184" s="105" t="n"/>
    </row>
    <row r="185">
      <c r="A185" s="53" t="n"/>
      <c r="B185" s="105" t="n"/>
      <c r="C185" s="105" t="n"/>
      <c r="D185" s="105" t="n"/>
      <c r="E185" s="105" t="n"/>
      <c r="F185" s="105" t="n"/>
    </row>
    <row r="186">
      <c r="A186" s="53" t="n"/>
      <c r="B186" s="105" t="n"/>
      <c r="C186" s="105" t="n"/>
      <c r="D186" s="105" t="n"/>
      <c r="E186" s="105" t="n"/>
      <c r="F186" s="105" t="n"/>
    </row>
    <row r="187">
      <c r="A187" s="53" t="n"/>
      <c r="B187" s="105" t="n"/>
      <c r="C187" s="105" t="n"/>
      <c r="D187" s="105" t="n"/>
      <c r="E187" s="105" t="n"/>
      <c r="F187" s="105" t="n"/>
    </row>
    <row r="188">
      <c r="A188" s="53" t="n"/>
      <c r="B188" s="105" t="n"/>
      <c r="C188" s="105" t="n"/>
      <c r="D188" s="105" t="n"/>
      <c r="E188" s="105" t="n"/>
      <c r="F188" s="105" t="n"/>
    </row>
    <row r="189">
      <c r="A189" s="53" t="n"/>
      <c r="B189" s="105" t="n"/>
      <c r="C189" s="105" t="n"/>
      <c r="D189" s="105" t="n"/>
      <c r="E189" s="105" t="n"/>
      <c r="F189" s="105" t="n"/>
    </row>
    <row r="190">
      <c r="A190" s="53" t="n"/>
      <c r="B190" s="105" t="n"/>
      <c r="C190" s="105" t="n"/>
      <c r="D190" s="105" t="n"/>
      <c r="E190" s="105" t="n"/>
      <c r="F190" s="105" t="n"/>
    </row>
    <row r="191">
      <c r="A191" s="53" t="n"/>
      <c r="B191" s="105" t="n"/>
      <c r="C191" s="105" t="n"/>
      <c r="D191" s="105" t="n"/>
      <c r="E191" s="105" t="n"/>
      <c r="F191" s="105" t="n"/>
    </row>
    <row r="192">
      <c r="A192" s="53" t="n"/>
      <c r="B192" s="105" t="n"/>
      <c r="C192" s="105" t="n"/>
      <c r="D192" s="105" t="n"/>
      <c r="E192" s="105" t="n"/>
      <c r="F192" s="105" t="n"/>
    </row>
    <row r="193">
      <c r="A193" s="53" t="n"/>
      <c r="B193" s="105" t="n"/>
      <c r="C193" s="105" t="n"/>
      <c r="D193" s="105" t="n"/>
      <c r="E193" s="105" t="n"/>
      <c r="F193" s="105" t="n"/>
    </row>
    <row r="194">
      <c r="A194" s="53" t="n"/>
      <c r="B194" s="105" t="n"/>
      <c r="C194" s="105" t="n"/>
      <c r="D194" s="105" t="n"/>
      <c r="E194" s="105" t="n"/>
      <c r="F194" s="105" t="n"/>
    </row>
    <row r="195">
      <c r="A195" s="53" t="n"/>
      <c r="B195" s="105" t="n"/>
      <c r="C195" s="105" t="n"/>
      <c r="D195" s="105" t="n"/>
      <c r="E195" s="105" t="n"/>
      <c r="F195" s="105" t="n"/>
    </row>
    <row r="196">
      <c r="A196" s="53" t="n"/>
      <c r="B196" s="105" t="n"/>
      <c r="C196" s="105" t="n"/>
      <c r="D196" s="105" t="n"/>
      <c r="E196" s="105" t="n"/>
      <c r="F196" s="105" t="n"/>
    </row>
    <row r="197">
      <c r="A197" s="53" t="n"/>
      <c r="B197" s="105" t="n"/>
      <c r="C197" s="105" t="n"/>
      <c r="D197" s="105" t="n"/>
      <c r="E197" s="105" t="n"/>
      <c r="F197" s="105" t="n"/>
    </row>
    <row r="198">
      <c r="A198" s="53" t="n"/>
      <c r="B198" s="105" t="n"/>
      <c r="C198" s="105" t="n"/>
      <c r="D198" s="105" t="n"/>
      <c r="E198" s="105" t="n"/>
      <c r="F198" s="105" t="n"/>
    </row>
    <row r="199">
      <c r="A199" s="53" t="n"/>
      <c r="B199" s="105" t="n"/>
      <c r="C199" s="105" t="n"/>
      <c r="D199" s="105" t="n"/>
      <c r="E199" s="105" t="n"/>
      <c r="F199" s="105" t="n"/>
    </row>
    <row r="200">
      <c r="A200" s="53" t="n"/>
      <c r="B200" s="105" t="n"/>
      <c r="C200" s="105" t="n"/>
      <c r="D200" s="105" t="n"/>
      <c r="E200" s="105" t="n"/>
      <c r="F200" s="105" t="n"/>
    </row>
    <row r="201">
      <c r="A201" s="53" t="n"/>
      <c r="B201" s="105" t="n"/>
      <c r="C201" s="105" t="n"/>
      <c r="D201" s="105" t="n"/>
      <c r="E201" s="105" t="n"/>
      <c r="F201" s="105" t="n"/>
    </row>
    <row r="202">
      <c r="A202" s="53" t="n"/>
      <c r="B202" s="105" t="n"/>
      <c r="C202" s="105" t="n"/>
      <c r="D202" s="105" t="n"/>
      <c r="E202" s="105" t="n"/>
      <c r="F202" s="105" t="n"/>
    </row>
    <row r="203">
      <c r="A203" s="53" t="n"/>
      <c r="B203" s="105" t="n"/>
      <c r="C203" s="105" t="n"/>
      <c r="D203" s="105" t="n"/>
      <c r="E203" s="105" t="n"/>
      <c r="F203" s="105" t="n"/>
    </row>
    <row r="204">
      <c r="A204" s="53" t="n"/>
      <c r="B204" s="105" t="n"/>
      <c r="C204" s="105" t="n"/>
      <c r="D204" s="105" t="n"/>
      <c r="E204" s="105" t="n"/>
      <c r="F204" s="105" t="n"/>
    </row>
    <row r="205">
      <c r="A205" s="53" t="n"/>
      <c r="B205" s="105" t="n"/>
      <c r="C205" s="105" t="n"/>
      <c r="D205" s="105" t="n"/>
      <c r="E205" s="105" t="n"/>
      <c r="F205" s="105" t="n"/>
    </row>
    <row r="206">
      <c r="A206" s="53" t="n"/>
      <c r="B206" s="105" t="n"/>
      <c r="C206" s="105" t="n"/>
      <c r="D206" s="105" t="n"/>
      <c r="E206" s="105" t="n"/>
      <c r="F206" s="105" t="n"/>
    </row>
    <row r="207">
      <c r="A207" s="53" t="n"/>
      <c r="B207" s="105" t="n"/>
      <c r="C207" s="105" t="n"/>
      <c r="D207" s="105" t="n"/>
      <c r="E207" s="105" t="n"/>
      <c r="F207" s="105" t="n"/>
    </row>
    <row r="208">
      <c r="A208" s="53" t="n"/>
      <c r="B208" s="105" t="n"/>
      <c r="C208" s="105" t="n"/>
      <c r="D208" s="105" t="n"/>
      <c r="E208" s="105" t="n"/>
      <c r="F208" s="105" t="n"/>
    </row>
    <row r="209">
      <c r="A209" s="53" t="n"/>
      <c r="B209" s="105" t="n"/>
      <c r="C209" s="105" t="n"/>
      <c r="D209" s="105" t="n"/>
      <c r="E209" s="105" t="n"/>
      <c r="F209" s="105" t="n"/>
    </row>
    <row r="210">
      <c r="A210" s="53" t="n"/>
      <c r="B210" s="105" t="n"/>
      <c r="C210" s="105" t="n"/>
      <c r="D210" s="105" t="n"/>
      <c r="E210" s="105" t="n"/>
      <c r="F210" s="105" t="n"/>
    </row>
    <row r="211">
      <c r="A211" s="53" t="n"/>
      <c r="B211" s="105" t="n"/>
      <c r="C211" s="105" t="n"/>
      <c r="D211" s="105" t="n"/>
      <c r="E211" s="105" t="n"/>
      <c r="F211" s="105" t="n"/>
    </row>
    <row r="212">
      <c r="A212" s="53" t="n"/>
      <c r="B212" s="105" t="n"/>
      <c r="C212" s="105" t="n"/>
      <c r="D212" s="105" t="n"/>
      <c r="E212" s="105" t="n"/>
      <c r="F212" s="105" t="n"/>
    </row>
    <row r="213">
      <c r="A213" s="53" t="n"/>
      <c r="B213" s="105" t="n"/>
      <c r="C213" s="105" t="n"/>
      <c r="D213" s="105" t="n"/>
      <c r="E213" s="105" t="n"/>
      <c r="F213" s="105" t="n"/>
    </row>
    <row r="214">
      <c r="A214" s="53" t="n"/>
      <c r="B214" s="105" t="n"/>
      <c r="C214" s="105" t="n"/>
      <c r="D214" s="105" t="n"/>
      <c r="E214" s="105" t="n"/>
      <c r="F214" s="105" t="n"/>
    </row>
    <row r="215">
      <c r="A215" s="53" t="n"/>
      <c r="B215" s="105" t="n"/>
      <c r="C215" s="105" t="n"/>
      <c r="D215" s="105" t="n"/>
      <c r="E215" s="105" t="n"/>
      <c r="F215" s="105" t="n"/>
    </row>
    <row r="216">
      <c r="A216" s="53" t="n"/>
      <c r="B216" s="105" t="n"/>
      <c r="C216" s="105" t="n"/>
      <c r="D216" s="105" t="n"/>
      <c r="E216" s="105" t="n"/>
      <c r="F216" s="105" t="n"/>
    </row>
    <row r="217">
      <c r="A217" s="53" t="n"/>
      <c r="B217" s="105" t="n"/>
      <c r="C217" s="105" t="n"/>
      <c r="D217" s="105" t="n"/>
      <c r="E217" s="105" t="n"/>
      <c r="F217" s="105" t="n"/>
    </row>
    <row r="218">
      <c r="A218" s="53" t="n"/>
      <c r="B218" s="105" t="n"/>
      <c r="C218" s="105" t="n"/>
      <c r="D218" s="105" t="n"/>
      <c r="E218" s="105" t="n"/>
      <c r="F218" s="105" t="n"/>
    </row>
    <row r="219">
      <c r="A219" s="53" t="n"/>
      <c r="B219" s="105" t="n"/>
      <c r="C219" s="105" t="n"/>
      <c r="D219" s="105" t="n"/>
      <c r="E219" s="105" t="n"/>
      <c r="F219" s="105" t="n"/>
    </row>
    <row r="220">
      <c r="A220" s="53" t="n"/>
      <c r="B220" s="105" t="n"/>
      <c r="C220" s="105" t="n"/>
      <c r="D220" s="105" t="n"/>
      <c r="E220" s="105" t="n"/>
      <c r="F220" s="105" t="n"/>
    </row>
    <row r="221">
      <c r="A221" s="53" t="n"/>
      <c r="B221" s="105" t="n"/>
      <c r="C221" s="105" t="n"/>
      <c r="D221" s="105" t="n"/>
      <c r="E221" s="105" t="n"/>
      <c r="F221" s="105" t="n"/>
    </row>
    <row r="222">
      <c r="A222" s="53" t="n"/>
      <c r="B222" s="105" t="n"/>
      <c r="C222" s="105" t="n"/>
      <c r="D222" s="105" t="n"/>
      <c r="E222" s="105" t="n"/>
      <c r="F222" s="105" t="n"/>
    </row>
    <row r="223">
      <c r="A223" s="53" t="n"/>
      <c r="B223" s="105" t="n"/>
      <c r="C223" s="105" t="n"/>
      <c r="D223" s="105" t="n"/>
      <c r="E223" s="105" t="n"/>
      <c r="F223" s="105" t="n"/>
    </row>
    <row r="224">
      <c r="A224" s="53" t="n"/>
      <c r="B224" s="105" t="n"/>
      <c r="C224" s="105" t="n"/>
      <c r="D224" s="105" t="n"/>
      <c r="E224" s="105" t="n"/>
      <c r="F224" s="105" t="n"/>
    </row>
    <row r="225">
      <c r="A225" s="53" t="n"/>
      <c r="B225" s="105" t="n"/>
      <c r="C225" s="105" t="n"/>
      <c r="D225" s="105" t="n"/>
      <c r="E225" s="105" t="n"/>
      <c r="F225" s="105" t="n"/>
    </row>
    <row r="226">
      <c r="A226" s="53" t="n"/>
      <c r="B226" s="105" t="n"/>
      <c r="C226" s="105" t="n"/>
      <c r="D226" s="105" t="n"/>
      <c r="E226" s="105" t="n"/>
      <c r="F226" s="105" t="n"/>
    </row>
    <row r="227">
      <c r="A227" s="53" t="n"/>
      <c r="B227" s="105" t="n"/>
      <c r="C227" s="105" t="n"/>
      <c r="D227" s="105" t="n"/>
      <c r="E227" s="105" t="n"/>
      <c r="F227" s="105" t="n"/>
    </row>
    <row r="228">
      <c r="A228" s="53" t="n"/>
      <c r="B228" s="105" t="n"/>
      <c r="C228" s="105" t="n"/>
      <c r="D228" s="105" t="n"/>
      <c r="E228" s="105" t="n"/>
      <c r="F228" s="105" t="n"/>
    </row>
    <row r="229">
      <c r="A229" s="53" t="n"/>
      <c r="B229" s="105" t="n"/>
      <c r="C229" s="105" t="n"/>
      <c r="D229" s="105" t="n"/>
      <c r="E229" s="105" t="n"/>
      <c r="F229" s="105" t="n"/>
    </row>
    <row r="230">
      <c r="A230" s="53" t="n"/>
      <c r="B230" s="105" t="n"/>
      <c r="C230" s="105" t="n"/>
      <c r="D230" s="105" t="n"/>
      <c r="E230" s="105" t="n"/>
      <c r="F230" s="105" t="n"/>
    </row>
    <row r="231">
      <c r="A231" s="53" t="n"/>
      <c r="B231" s="105" t="n"/>
      <c r="C231" s="105" t="n"/>
      <c r="D231" s="105" t="n"/>
      <c r="E231" s="105" t="n"/>
      <c r="F231" s="105" t="n"/>
    </row>
    <row r="232">
      <c r="A232" s="53" t="n"/>
      <c r="B232" s="105" t="n"/>
      <c r="C232" s="105" t="n"/>
      <c r="D232" s="105" t="n"/>
      <c r="E232" s="105" t="n"/>
      <c r="F232" s="105" t="n"/>
    </row>
    <row r="233">
      <c r="A233" s="53" t="n"/>
      <c r="B233" s="105" t="n"/>
      <c r="C233" s="105" t="n"/>
      <c r="D233" s="105" t="n"/>
      <c r="E233" s="105" t="n"/>
      <c r="F233" s="105" t="n"/>
    </row>
    <row r="234">
      <c r="A234" s="53" t="n"/>
      <c r="B234" s="105" t="n"/>
      <c r="C234" s="105" t="n"/>
      <c r="D234" s="105" t="n"/>
      <c r="E234" s="105" t="n"/>
      <c r="F234" s="105" t="n"/>
    </row>
    <row r="235">
      <c r="A235" s="53" t="n"/>
      <c r="B235" s="105" t="n"/>
      <c r="C235" s="105" t="n"/>
      <c r="D235" s="105" t="n"/>
      <c r="E235" s="105" t="n"/>
      <c r="F235" s="105" t="n"/>
    </row>
    <row r="236">
      <c r="A236" s="53" t="n"/>
      <c r="B236" s="105" t="n"/>
      <c r="C236" s="105" t="n"/>
      <c r="D236" s="105" t="n"/>
      <c r="E236" s="105" t="n"/>
      <c r="F236" s="105" t="n"/>
    </row>
    <row r="237">
      <c r="A237" s="53" t="n"/>
      <c r="B237" s="105" t="n"/>
      <c r="C237" s="105" t="n"/>
      <c r="D237" s="105" t="n"/>
      <c r="E237" s="105" t="n"/>
      <c r="F237" s="105" t="n"/>
    </row>
    <row r="238">
      <c r="A238" s="53" t="n"/>
      <c r="B238" s="105" t="n"/>
      <c r="C238" s="105" t="n"/>
      <c r="D238" s="105" t="n"/>
      <c r="E238" s="105" t="n"/>
      <c r="F238" s="105" t="n"/>
    </row>
    <row r="239">
      <c r="A239" s="53" t="n"/>
      <c r="B239" s="105" t="n"/>
      <c r="C239" s="105" t="n"/>
      <c r="D239" s="105" t="n"/>
      <c r="E239" s="105" t="n"/>
      <c r="F239" s="105" t="n"/>
    </row>
    <row r="240">
      <c r="A240" s="53" t="n"/>
      <c r="B240" s="105" t="n"/>
      <c r="C240" s="105" t="n"/>
      <c r="D240" s="105" t="n"/>
      <c r="E240" s="105" t="n"/>
      <c r="F240" s="105" t="n"/>
    </row>
    <row r="241">
      <c r="A241" s="53" t="n"/>
      <c r="B241" s="105" t="n"/>
      <c r="C241" s="105" t="n"/>
      <c r="D241" s="105" t="n"/>
      <c r="E241" s="105" t="n"/>
      <c r="F241" s="105" t="n"/>
    </row>
    <row r="242">
      <c r="A242" s="53" t="n"/>
      <c r="B242" s="105" t="n"/>
      <c r="C242" s="105" t="n"/>
      <c r="D242" s="105" t="n"/>
      <c r="E242" s="105" t="n"/>
      <c r="F242" s="105" t="n"/>
    </row>
    <row r="243">
      <c r="A243" s="53" t="n"/>
      <c r="B243" s="105" t="n"/>
      <c r="C243" s="105" t="n"/>
      <c r="D243" s="105" t="n"/>
      <c r="E243" s="105" t="n"/>
      <c r="F243" s="105" t="n"/>
    </row>
    <row r="244">
      <c r="A244" s="53" t="n"/>
      <c r="B244" s="105" t="n"/>
      <c r="C244" s="105" t="n"/>
      <c r="D244" s="105" t="n"/>
      <c r="E244" s="105" t="n"/>
      <c r="F244" s="105" t="n"/>
    </row>
    <row r="245">
      <c r="A245" s="53" t="n"/>
      <c r="B245" s="105" t="n"/>
      <c r="C245" s="105" t="n"/>
      <c r="D245" s="105" t="n"/>
      <c r="E245" s="105" t="n"/>
      <c r="F245" s="105" t="n"/>
    </row>
    <row r="246">
      <c r="A246" s="53" t="n"/>
      <c r="B246" s="105" t="n"/>
      <c r="C246" s="105" t="n"/>
      <c r="D246" s="105" t="n"/>
      <c r="E246" s="105" t="n"/>
      <c r="F246" s="105" t="n"/>
    </row>
    <row r="247">
      <c r="A247" s="53" t="n"/>
      <c r="B247" s="105" t="n"/>
      <c r="C247" s="105" t="n"/>
      <c r="D247" s="105" t="n"/>
      <c r="E247" s="105" t="n"/>
      <c r="F247" s="105" t="n"/>
    </row>
    <row r="248">
      <c r="A248" s="53" t="n"/>
      <c r="B248" s="105" t="n"/>
      <c r="C248" s="105" t="n"/>
      <c r="D248" s="105" t="n"/>
      <c r="E248" s="105" t="n"/>
      <c r="F248" s="105" t="n"/>
    </row>
    <row r="249">
      <c r="A249" s="53" t="n"/>
      <c r="B249" s="105" t="n"/>
      <c r="C249" s="105" t="n"/>
      <c r="D249" s="105" t="n"/>
      <c r="E249" s="105" t="n"/>
      <c r="F249" s="105" t="n"/>
    </row>
    <row r="250">
      <c r="A250" s="53" t="n"/>
      <c r="B250" s="105" t="n"/>
      <c r="C250" s="105" t="n"/>
      <c r="D250" s="105" t="n"/>
      <c r="E250" s="105" t="n"/>
      <c r="F250" s="105" t="n"/>
    </row>
    <row r="251">
      <c r="A251" s="53" t="n"/>
      <c r="B251" s="105" t="n"/>
      <c r="C251" s="105" t="n"/>
      <c r="D251" s="105" t="n"/>
      <c r="E251" s="105" t="n"/>
      <c r="F251" s="105" t="n"/>
    </row>
    <row r="252">
      <c r="A252" s="53" t="n"/>
      <c r="B252" s="105" t="n"/>
      <c r="C252" s="105" t="n"/>
      <c r="D252" s="105" t="n"/>
      <c r="E252" s="105" t="n"/>
      <c r="F252" s="105" t="n"/>
    </row>
    <row r="253">
      <c r="A253" s="53" t="n"/>
      <c r="B253" s="105" t="n"/>
      <c r="C253" s="105" t="n"/>
      <c r="D253" s="105" t="n"/>
      <c r="E253" s="105" t="n"/>
      <c r="F253" s="105" t="n"/>
    </row>
    <row r="254">
      <c r="A254" s="53" t="n"/>
      <c r="B254" s="105" t="n"/>
      <c r="C254" s="105" t="n"/>
      <c r="D254" s="105" t="n"/>
      <c r="E254" s="105" t="n"/>
      <c r="F254" s="105" t="n"/>
    </row>
    <row r="255">
      <c r="A255" s="53" t="n"/>
      <c r="B255" s="105" t="n"/>
      <c r="C255" s="105" t="n"/>
      <c r="D255" s="105" t="n"/>
      <c r="E255" s="105" t="n"/>
      <c r="F255" s="105" t="n"/>
    </row>
    <row r="256">
      <c r="A256" s="53" t="n"/>
      <c r="B256" s="105" t="n"/>
      <c r="C256" s="105" t="n"/>
      <c r="D256" s="105" t="n"/>
      <c r="E256" s="105" t="n"/>
      <c r="F256" s="105" t="n"/>
    </row>
    <row r="257">
      <c r="A257" s="53" t="n"/>
      <c r="B257" s="105" t="n"/>
      <c r="C257" s="105" t="n"/>
      <c r="D257" s="105" t="n"/>
      <c r="E257" s="105" t="n"/>
      <c r="F257" s="105" t="n"/>
    </row>
    <row r="258">
      <c r="A258" s="53" t="n"/>
      <c r="B258" s="105" t="n"/>
      <c r="C258" s="105" t="n"/>
      <c r="D258" s="105" t="n"/>
      <c r="E258" s="105" t="n"/>
      <c r="F258" s="105" t="n"/>
    </row>
    <row r="259">
      <c r="A259" s="53" t="n"/>
      <c r="B259" s="105" t="n"/>
      <c r="C259" s="105" t="n"/>
      <c r="D259" s="105" t="n"/>
      <c r="E259" s="105" t="n"/>
      <c r="F259" s="105" t="n"/>
    </row>
    <row r="260">
      <c r="A260" s="53" t="n"/>
      <c r="B260" s="105" t="n"/>
      <c r="C260" s="105" t="n"/>
      <c r="D260" s="105" t="n"/>
      <c r="E260" s="105" t="n"/>
      <c r="F260" s="105" t="n"/>
    </row>
    <row r="261">
      <c r="A261" s="53" t="n"/>
      <c r="B261" s="105" t="n"/>
      <c r="C261" s="105" t="n"/>
      <c r="D261" s="105" t="n"/>
      <c r="E261" s="105" t="n"/>
      <c r="F261" s="105" t="n"/>
    </row>
    <row r="262">
      <c r="A262" s="53" t="n"/>
      <c r="B262" s="105" t="n"/>
      <c r="C262" s="105" t="n"/>
      <c r="D262" s="105" t="n"/>
      <c r="E262" s="105" t="n"/>
      <c r="F262" s="105" t="n"/>
    </row>
    <row r="263">
      <c r="A263" s="53" t="n"/>
      <c r="B263" s="105" t="n"/>
      <c r="C263" s="105" t="n"/>
      <c r="D263" s="105" t="n"/>
      <c r="E263" s="105" t="n"/>
      <c r="F263" s="105" t="n"/>
    </row>
    <row r="264">
      <c r="A264" s="53" t="n"/>
      <c r="B264" s="105" t="n"/>
      <c r="C264" s="105" t="n"/>
      <c r="D264" s="105" t="n"/>
      <c r="E264" s="105" t="n"/>
      <c r="F264" s="105" t="n"/>
    </row>
    <row r="265">
      <c r="A265" s="53" t="n"/>
      <c r="B265" s="105" t="n"/>
      <c r="C265" s="105" t="n"/>
      <c r="D265" s="105" t="n"/>
      <c r="E265" s="105" t="n"/>
      <c r="F265" s="105" t="n"/>
    </row>
    <row r="266">
      <c r="A266" s="53" t="n"/>
      <c r="B266" s="105" t="n"/>
      <c r="C266" s="105" t="n"/>
      <c r="D266" s="105" t="n"/>
      <c r="E266" s="105" t="n"/>
      <c r="F266" s="105" t="n"/>
    </row>
    <row r="267">
      <c r="A267" s="53" t="n"/>
      <c r="B267" s="105" t="n"/>
      <c r="C267" s="105" t="n"/>
      <c r="D267" s="105" t="n"/>
      <c r="E267" s="105" t="n"/>
      <c r="F267" s="105" t="n"/>
    </row>
    <row r="268">
      <c r="A268" s="53" t="n"/>
      <c r="B268" s="105" t="n"/>
      <c r="C268" s="105" t="n"/>
      <c r="D268" s="105" t="n"/>
      <c r="E268" s="105" t="n"/>
      <c r="F268" s="105" t="n"/>
    </row>
    <row r="269">
      <c r="A269" s="53" t="n"/>
      <c r="B269" s="105" t="n"/>
      <c r="C269" s="105" t="n"/>
      <c r="D269" s="105" t="n"/>
      <c r="E269" s="105" t="n"/>
      <c r="F269" s="105" t="n"/>
    </row>
    <row r="270">
      <c r="A270" s="53" t="n"/>
      <c r="B270" s="105" t="n"/>
      <c r="C270" s="105" t="n"/>
      <c r="D270" s="105" t="n"/>
      <c r="E270" s="105" t="n"/>
      <c r="F270" s="105" t="n"/>
    </row>
    <row r="271">
      <c r="A271" s="53" t="n"/>
      <c r="B271" s="105" t="n"/>
      <c r="C271" s="105" t="n"/>
      <c r="D271" s="105" t="n"/>
      <c r="E271" s="105" t="n"/>
      <c r="F271" s="105" t="n"/>
    </row>
    <row r="272">
      <c r="A272" s="53" t="n"/>
      <c r="B272" s="105" t="n"/>
      <c r="C272" s="105" t="n"/>
      <c r="D272" s="105" t="n"/>
      <c r="E272" s="105" t="n"/>
      <c r="F272" s="105" t="n"/>
    </row>
    <row r="273">
      <c r="A273" s="53" t="n"/>
      <c r="B273" s="105" t="n"/>
      <c r="C273" s="105" t="n"/>
      <c r="D273" s="105" t="n"/>
      <c r="E273" s="105" t="n"/>
      <c r="F273" s="105" t="n"/>
    </row>
    <row r="274">
      <c r="A274" s="53" t="n"/>
      <c r="B274" s="105" t="n"/>
      <c r="C274" s="105" t="n"/>
      <c r="D274" s="105" t="n"/>
      <c r="E274" s="105" t="n"/>
      <c r="F274" s="105" t="n"/>
    </row>
    <row r="275">
      <c r="A275" s="53" t="n"/>
      <c r="B275" s="105" t="n"/>
      <c r="C275" s="105" t="n"/>
      <c r="D275" s="105" t="n"/>
      <c r="E275" s="105" t="n"/>
      <c r="F275" s="105" t="n"/>
    </row>
    <row r="276">
      <c r="A276" s="53" t="n"/>
      <c r="B276" s="105" t="n"/>
      <c r="C276" s="105" t="n"/>
      <c r="D276" s="105" t="n"/>
      <c r="E276" s="105" t="n"/>
      <c r="F276" s="105" t="n"/>
    </row>
    <row r="277">
      <c r="A277" s="53" t="n"/>
      <c r="B277" s="105" t="n"/>
      <c r="C277" s="105" t="n"/>
      <c r="D277" s="105" t="n"/>
      <c r="E277" s="105" t="n"/>
      <c r="F277" s="105" t="n"/>
    </row>
    <row r="278">
      <c r="A278" s="53" t="n"/>
      <c r="B278" s="105" t="n"/>
      <c r="C278" s="105" t="n"/>
      <c r="D278" s="105" t="n"/>
      <c r="E278" s="105" t="n"/>
      <c r="F278" s="105" t="n"/>
    </row>
    <row r="279">
      <c r="A279" s="53" t="n"/>
      <c r="B279" s="105" t="n"/>
      <c r="C279" s="105" t="n"/>
      <c r="D279" s="105" t="n"/>
      <c r="E279" s="105" t="n"/>
      <c r="F279" s="105" t="n"/>
    </row>
    <row r="280">
      <c r="A280" s="53" t="n"/>
      <c r="B280" s="105" t="n"/>
      <c r="C280" s="105" t="n"/>
      <c r="D280" s="105" t="n"/>
      <c r="E280" s="105" t="n"/>
      <c r="F280" s="105" t="n"/>
    </row>
    <row r="281">
      <c r="A281" s="53" t="n"/>
      <c r="B281" s="105" t="n"/>
      <c r="C281" s="105" t="n"/>
      <c r="D281" s="105" t="n"/>
      <c r="E281" s="105" t="n"/>
      <c r="F281" s="105" t="n"/>
    </row>
    <row r="282">
      <c r="A282" s="53" t="n"/>
      <c r="B282" s="105" t="n"/>
      <c r="C282" s="105" t="n"/>
      <c r="D282" s="105" t="n"/>
      <c r="E282" s="105" t="n"/>
      <c r="F282" s="105" t="n"/>
    </row>
    <row r="283">
      <c r="A283" s="53" t="n"/>
      <c r="B283" s="105" t="n"/>
      <c r="C283" s="105" t="n"/>
      <c r="D283" s="105" t="n"/>
      <c r="E283" s="105" t="n"/>
      <c r="F283" s="105" t="n"/>
    </row>
    <row r="284">
      <c r="A284" s="53" t="n"/>
      <c r="B284" s="105" t="n"/>
      <c r="C284" s="105" t="n"/>
      <c r="D284" s="105" t="n"/>
      <c r="E284" s="105" t="n"/>
      <c r="F284" s="105" t="n"/>
    </row>
    <row r="285">
      <c r="A285" s="53" t="n"/>
      <c r="B285" s="105" t="n"/>
      <c r="C285" s="105" t="n"/>
      <c r="D285" s="105" t="n"/>
      <c r="E285" s="105" t="n"/>
      <c r="F285" s="105" t="n"/>
    </row>
    <row r="286">
      <c r="A286" s="53" t="n"/>
      <c r="B286" s="105" t="n"/>
      <c r="C286" s="105" t="n"/>
      <c r="D286" s="105" t="n"/>
      <c r="E286" s="105" t="n"/>
      <c r="F286" s="105" t="n"/>
    </row>
    <row r="287">
      <c r="A287" s="53" t="n"/>
      <c r="B287" s="105" t="n"/>
      <c r="C287" s="105" t="n"/>
      <c r="D287" s="105" t="n"/>
      <c r="E287" s="105" t="n"/>
      <c r="F287" s="105" t="n"/>
    </row>
    <row r="288">
      <c r="A288" s="53" t="n"/>
      <c r="B288" s="105" t="n"/>
      <c r="C288" s="105" t="n"/>
      <c r="D288" s="105" t="n"/>
      <c r="E288" s="105" t="n"/>
      <c r="F288" s="105" t="n"/>
    </row>
    <row r="289">
      <c r="A289" s="53" t="n"/>
      <c r="B289" s="105" t="n"/>
      <c r="C289" s="105" t="n"/>
      <c r="D289" s="105" t="n"/>
      <c r="E289" s="105" t="n"/>
      <c r="F289" s="105" t="n"/>
    </row>
    <row r="290">
      <c r="A290" s="53" t="n"/>
      <c r="B290" s="105" t="n"/>
      <c r="C290" s="105" t="n"/>
      <c r="D290" s="105" t="n"/>
      <c r="E290" s="105" t="n"/>
      <c r="F290" s="105" t="n"/>
    </row>
    <row r="291">
      <c r="A291" s="53" t="n"/>
      <c r="B291" s="105" t="n"/>
      <c r="C291" s="105" t="n"/>
      <c r="D291" s="105" t="n"/>
      <c r="E291" s="105" t="n"/>
      <c r="F291" s="105" t="n"/>
    </row>
    <row r="292">
      <c r="A292" s="53" t="n"/>
      <c r="B292" s="105" t="n"/>
      <c r="C292" s="105" t="n"/>
      <c r="D292" s="105" t="n"/>
      <c r="E292" s="105" t="n"/>
      <c r="F292" s="105" t="n"/>
    </row>
    <row r="293">
      <c r="A293" s="53" t="n"/>
      <c r="B293" s="105" t="n"/>
      <c r="C293" s="105" t="n"/>
      <c r="D293" s="105" t="n"/>
      <c r="E293" s="105" t="n"/>
      <c r="F293" s="105" t="n"/>
    </row>
    <row r="294">
      <c r="A294" s="53" t="n"/>
      <c r="B294" s="105" t="n"/>
      <c r="C294" s="105" t="n"/>
      <c r="D294" s="105" t="n"/>
      <c r="E294" s="105" t="n"/>
      <c r="F294" s="105" t="n"/>
    </row>
    <row r="295">
      <c r="A295" s="53" t="n"/>
      <c r="B295" s="105" t="n"/>
      <c r="C295" s="105" t="n"/>
      <c r="D295" s="105" t="n"/>
      <c r="E295" s="105" t="n"/>
      <c r="F295" s="105" t="n"/>
    </row>
    <row r="296">
      <c r="A296" s="53" t="n"/>
      <c r="B296" s="105" t="n"/>
      <c r="C296" s="105" t="n"/>
      <c r="D296" s="105" t="n"/>
      <c r="E296" s="105" t="n"/>
      <c r="F296" s="105" t="n"/>
    </row>
    <row r="297">
      <c r="A297" s="53" t="n"/>
      <c r="B297" s="105" t="n"/>
      <c r="C297" s="105" t="n"/>
      <c r="D297" s="105" t="n"/>
      <c r="E297" s="105" t="n"/>
      <c r="F297" s="105" t="n"/>
    </row>
    <row r="298">
      <c r="A298" s="53" t="n"/>
      <c r="B298" s="105" t="n"/>
      <c r="C298" s="105" t="n"/>
      <c r="D298" s="105" t="n"/>
      <c r="E298" s="105" t="n"/>
      <c r="F298" s="105" t="n"/>
    </row>
    <row r="299">
      <c r="A299" s="53" t="n"/>
      <c r="B299" s="105" t="n"/>
      <c r="C299" s="105" t="n"/>
      <c r="D299" s="105" t="n"/>
      <c r="E299" s="105" t="n"/>
      <c r="F299" s="105" t="n"/>
    </row>
    <row r="300">
      <c r="A300" s="53" t="n"/>
      <c r="B300" s="105" t="n"/>
      <c r="C300" s="105" t="n"/>
      <c r="D300" s="105" t="n"/>
      <c r="E300" s="105" t="n"/>
      <c r="F300" s="105" t="n"/>
    </row>
    <row r="301">
      <c r="A301" s="53" t="n"/>
      <c r="B301" s="105" t="n"/>
      <c r="C301" s="105" t="n"/>
      <c r="D301" s="105" t="n"/>
      <c r="E301" s="105" t="n"/>
      <c r="F301" s="105" t="n"/>
    </row>
    <row r="302">
      <c r="A302" s="53" t="n"/>
      <c r="B302" s="105" t="n"/>
      <c r="C302" s="105" t="n"/>
      <c r="D302" s="105" t="n"/>
      <c r="E302" s="105" t="n"/>
      <c r="F302" s="105" t="n"/>
    </row>
    <row r="303">
      <c r="A303" s="53" t="n"/>
      <c r="B303" s="105" t="n"/>
      <c r="C303" s="105" t="n"/>
      <c r="D303" s="105" t="n"/>
      <c r="E303" s="105" t="n"/>
      <c r="F303" s="105" t="n"/>
    </row>
    <row r="304">
      <c r="A304" s="53" t="n"/>
      <c r="B304" s="105" t="n"/>
      <c r="C304" s="105" t="n"/>
      <c r="D304" s="105" t="n"/>
      <c r="E304" s="105" t="n"/>
      <c r="F304" s="105" t="n"/>
    </row>
    <row r="305">
      <c r="A305" s="53" t="n"/>
      <c r="B305" s="105" t="n"/>
      <c r="C305" s="105" t="n"/>
      <c r="D305" s="105" t="n"/>
      <c r="E305" s="105" t="n"/>
      <c r="F305" s="105" t="n"/>
    </row>
    <row r="306">
      <c r="A306" s="53" t="n"/>
      <c r="B306" s="105" t="n"/>
      <c r="C306" s="105" t="n"/>
      <c r="D306" s="105" t="n"/>
      <c r="E306" s="105" t="n"/>
      <c r="F306" s="105" t="n"/>
    </row>
    <row r="307">
      <c r="A307" s="53" t="n"/>
      <c r="B307" s="105" t="n"/>
      <c r="C307" s="105" t="n"/>
      <c r="D307" s="105" t="n"/>
      <c r="E307" s="105" t="n"/>
      <c r="F307" s="105" t="n"/>
    </row>
    <row r="308">
      <c r="A308" s="53" t="n"/>
      <c r="B308" s="105" t="n"/>
      <c r="C308" s="105" t="n"/>
      <c r="D308" s="105" t="n"/>
      <c r="E308" s="105" t="n"/>
      <c r="F308" s="105" t="n"/>
    </row>
    <row r="309">
      <c r="A309" s="53" t="n"/>
      <c r="B309" s="105" t="n"/>
      <c r="C309" s="105" t="n"/>
      <c r="D309" s="105" t="n"/>
      <c r="E309" s="105" t="n"/>
      <c r="F309" s="105" t="n"/>
    </row>
    <row r="310">
      <c r="A310" s="53" t="n"/>
      <c r="B310" s="105" t="n"/>
      <c r="C310" s="105" t="n"/>
      <c r="D310" s="105" t="n"/>
      <c r="E310" s="105" t="n"/>
      <c r="F310" s="105" t="n"/>
    </row>
    <row r="311">
      <c r="A311" s="53" t="n"/>
      <c r="B311" s="105" t="n"/>
      <c r="C311" s="105" t="n"/>
      <c r="D311" s="105" t="n"/>
      <c r="E311" s="105" t="n"/>
      <c r="F311" s="105" t="n"/>
    </row>
    <row r="312">
      <c r="A312" s="53" t="n"/>
      <c r="B312" s="105" t="n"/>
      <c r="C312" s="105" t="n"/>
      <c r="D312" s="105" t="n"/>
      <c r="E312" s="105" t="n"/>
      <c r="F312" s="105" t="n"/>
    </row>
    <row r="313">
      <c r="A313" s="53" t="n"/>
      <c r="B313" s="105" t="n"/>
      <c r="C313" s="105" t="n"/>
      <c r="D313" s="105" t="n"/>
      <c r="E313" s="105" t="n"/>
      <c r="F313" s="105" t="n"/>
    </row>
    <row r="314">
      <c r="A314" s="53" t="n"/>
      <c r="B314" s="105" t="n"/>
      <c r="C314" s="105" t="n"/>
      <c r="D314" s="105" t="n"/>
      <c r="E314" s="105" t="n"/>
      <c r="F314" s="105" t="n"/>
    </row>
    <row r="315">
      <c r="A315" s="53" t="n"/>
      <c r="B315" s="105" t="n"/>
      <c r="C315" s="105" t="n"/>
      <c r="D315" s="105" t="n"/>
      <c r="E315" s="105" t="n"/>
      <c r="F315" s="105" t="n"/>
    </row>
    <row r="316">
      <c r="A316" s="53" t="n"/>
      <c r="B316" s="105" t="n"/>
      <c r="C316" s="105" t="n"/>
      <c r="D316" s="105" t="n"/>
      <c r="E316" s="105" t="n"/>
      <c r="F316" s="105" t="n"/>
    </row>
    <row r="317">
      <c r="A317" s="53" t="n"/>
      <c r="B317" s="105" t="n"/>
      <c r="C317" s="105" t="n"/>
      <c r="D317" s="105" t="n"/>
      <c r="E317" s="105" t="n"/>
      <c r="F317" s="105" t="n"/>
    </row>
    <row r="318">
      <c r="A318" s="53" t="n"/>
      <c r="B318" s="105" t="n"/>
      <c r="C318" s="105" t="n"/>
      <c r="D318" s="105" t="n"/>
      <c r="E318" s="105" t="n"/>
      <c r="F318" s="105" t="n"/>
    </row>
    <row r="319">
      <c r="A319" s="53" t="n"/>
      <c r="B319" s="105" t="n"/>
      <c r="C319" s="105" t="n"/>
      <c r="D319" s="105" t="n"/>
      <c r="E319" s="105" t="n"/>
      <c r="F319" s="105" t="n"/>
    </row>
    <row r="320">
      <c r="A320" s="53" t="n"/>
      <c r="B320" s="105" t="n"/>
      <c r="C320" s="105" t="n"/>
      <c r="D320" s="105" t="n"/>
      <c r="E320" s="105" t="n"/>
      <c r="F320" s="105" t="n"/>
    </row>
    <row r="321">
      <c r="A321" s="53" t="n"/>
      <c r="B321" s="105" t="n"/>
      <c r="C321" s="105" t="n"/>
      <c r="D321" s="105" t="n"/>
      <c r="E321" s="105" t="n"/>
      <c r="F321" s="105" t="n"/>
    </row>
    <row r="322">
      <c r="A322" s="53" t="n"/>
      <c r="B322" s="105" t="n"/>
      <c r="C322" s="105" t="n"/>
      <c r="D322" s="105" t="n"/>
      <c r="E322" s="105" t="n"/>
      <c r="F322" s="105" t="n"/>
    </row>
    <row r="323">
      <c r="A323" s="53" t="n"/>
      <c r="B323" s="105" t="n"/>
      <c r="C323" s="105" t="n"/>
      <c r="D323" s="105" t="n"/>
      <c r="E323" s="105" t="n"/>
      <c r="F323" s="105" t="n"/>
    </row>
    <row r="324">
      <c r="A324" s="53" t="n"/>
      <c r="B324" s="105" t="n"/>
      <c r="C324" s="105" t="n"/>
      <c r="D324" s="105" t="n"/>
      <c r="E324" s="105" t="n"/>
      <c r="F324" s="105" t="n"/>
    </row>
    <row r="325">
      <c r="A325" s="53" t="n"/>
      <c r="B325" s="105" t="n"/>
      <c r="C325" s="105" t="n"/>
      <c r="D325" s="105" t="n"/>
      <c r="E325" s="105" t="n"/>
      <c r="F325" s="105" t="n"/>
    </row>
    <row r="326">
      <c r="A326" s="53" t="n"/>
      <c r="B326" s="105" t="n"/>
      <c r="C326" s="105" t="n"/>
      <c r="D326" s="105" t="n"/>
      <c r="E326" s="105" t="n"/>
      <c r="F326" s="105" t="n"/>
    </row>
    <row r="327">
      <c r="A327" s="53" t="n"/>
      <c r="B327" s="105" t="n"/>
      <c r="C327" s="105" t="n"/>
      <c r="D327" s="105" t="n"/>
      <c r="E327" s="105" t="n"/>
      <c r="F327" s="105" t="n"/>
    </row>
    <row r="328">
      <c r="A328" s="53" t="n"/>
      <c r="B328" s="105" t="n"/>
      <c r="C328" s="105" t="n"/>
      <c r="D328" s="105" t="n"/>
      <c r="E328" s="105" t="n"/>
      <c r="F328" s="105" t="n"/>
    </row>
    <row r="329">
      <c r="A329" s="53" t="n"/>
      <c r="B329" s="105" t="n"/>
      <c r="C329" s="105" t="n"/>
      <c r="D329" s="105" t="n"/>
      <c r="E329" s="105" t="n"/>
      <c r="F329" s="105" t="n"/>
    </row>
    <row r="330">
      <c r="A330" s="53" t="n"/>
      <c r="B330" s="105" t="n"/>
      <c r="C330" s="105" t="n"/>
      <c r="D330" s="105" t="n"/>
      <c r="E330" s="105" t="n"/>
      <c r="F330" s="105" t="n"/>
    </row>
    <row r="331">
      <c r="A331" s="53" t="n"/>
      <c r="B331" s="105" t="n"/>
      <c r="C331" s="105" t="n"/>
      <c r="D331" s="105" t="n"/>
      <c r="E331" s="105" t="n"/>
      <c r="F331" s="105" t="n"/>
    </row>
    <row r="332">
      <c r="A332" s="53" t="n"/>
      <c r="B332" s="105" t="n"/>
      <c r="C332" s="105" t="n"/>
      <c r="D332" s="105" t="n"/>
      <c r="E332" s="105" t="n"/>
      <c r="F332" s="105" t="n"/>
    </row>
    <row r="333">
      <c r="A333" s="53" t="n"/>
      <c r="B333" s="105" t="n"/>
      <c r="C333" s="105" t="n"/>
      <c r="D333" s="105" t="n"/>
      <c r="E333" s="105" t="n"/>
      <c r="F333" s="105" t="n"/>
    </row>
    <row r="334">
      <c r="A334" s="53" t="n"/>
      <c r="B334" s="105" t="n"/>
      <c r="C334" s="105" t="n"/>
      <c r="D334" s="105" t="n"/>
      <c r="E334" s="105" t="n"/>
      <c r="F334" s="105" t="n"/>
    </row>
    <row r="335">
      <c r="A335" s="53" t="n"/>
      <c r="B335" s="105" t="n"/>
      <c r="C335" s="105" t="n"/>
      <c r="D335" s="105" t="n"/>
      <c r="E335" s="105" t="n"/>
      <c r="F335" s="105" t="n"/>
    </row>
    <row r="336">
      <c r="A336" s="53" t="n"/>
      <c r="B336" s="105" t="n"/>
      <c r="C336" s="105" t="n"/>
      <c r="D336" s="105" t="n"/>
      <c r="E336" s="105" t="n"/>
      <c r="F336" s="105" t="n"/>
    </row>
    <row r="337">
      <c r="A337" s="53" t="n"/>
      <c r="B337" s="105" t="n"/>
      <c r="C337" s="105" t="n"/>
      <c r="D337" s="105" t="n"/>
      <c r="E337" s="105" t="n"/>
      <c r="F337" s="105" t="n"/>
    </row>
    <row r="338">
      <c r="A338" s="53" t="n"/>
      <c r="B338" s="105" t="n"/>
      <c r="C338" s="105" t="n"/>
      <c r="D338" s="105" t="n"/>
      <c r="E338" s="105" t="n"/>
      <c r="F338" s="105" t="n"/>
    </row>
    <row r="339">
      <c r="A339" s="53" t="n"/>
      <c r="B339" s="105" t="n"/>
      <c r="C339" s="105" t="n"/>
      <c r="D339" s="105" t="n"/>
      <c r="E339" s="105" t="n"/>
      <c r="F339" s="105" t="n"/>
    </row>
    <row r="340">
      <c r="A340" s="53" t="n"/>
      <c r="B340" s="105" t="n"/>
      <c r="C340" s="105" t="n"/>
      <c r="D340" s="105" t="n"/>
      <c r="E340" s="105" t="n"/>
      <c r="F340" s="105" t="n"/>
    </row>
    <row r="341">
      <c r="A341" s="53" t="n"/>
      <c r="B341" s="105" t="n"/>
      <c r="C341" s="105" t="n"/>
      <c r="D341" s="105" t="n"/>
      <c r="E341" s="105" t="n"/>
      <c r="F341" s="105" t="n"/>
    </row>
    <row r="342">
      <c r="A342" s="53" t="n"/>
      <c r="B342" s="105" t="n"/>
      <c r="C342" s="105" t="n"/>
      <c r="D342" s="105" t="n"/>
      <c r="E342" s="105" t="n"/>
      <c r="F342" s="105" t="n"/>
    </row>
    <row r="343">
      <c r="A343" s="53" t="n"/>
      <c r="B343" s="105" t="n"/>
      <c r="C343" s="105" t="n"/>
      <c r="D343" s="105" t="n"/>
      <c r="E343" s="105" t="n"/>
      <c r="F343" s="105" t="n"/>
    </row>
    <row r="344">
      <c r="A344" s="53" t="n"/>
      <c r="B344" s="105" t="n"/>
      <c r="C344" s="105" t="n"/>
      <c r="D344" s="105" t="n"/>
      <c r="E344" s="105" t="n"/>
      <c r="F344" s="105" t="n"/>
    </row>
    <row r="345">
      <c r="A345" s="53" t="n"/>
      <c r="B345" s="105" t="n"/>
      <c r="C345" s="105" t="n"/>
      <c r="D345" s="105" t="n"/>
      <c r="E345" s="105" t="n"/>
      <c r="F345" s="105" t="n"/>
    </row>
    <row r="346">
      <c r="A346" s="53" t="n"/>
      <c r="B346" s="105" t="n"/>
      <c r="C346" s="105" t="n"/>
      <c r="D346" s="105" t="n"/>
      <c r="E346" s="105" t="n"/>
      <c r="F346" s="105" t="n"/>
    </row>
    <row r="347">
      <c r="A347" s="53" t="n"/>
      <c r="B347" s="105" t="n"/>
      <c r="C347" s="105" t="n"/>
      <c r="D347" s="105" t="n"/>
      <c r="E347" s="105" t="n"/>
      <c r="F347" s="105" t="n"/>
    </row>
    <row r="348">
      <c r="A348" s="53" t="n"/>
      <c r="B348" s="105" t="n"/>
      <c r="C348" s="105" t="n"/>
      <c r="D348" s="105" t="n"/>
      <c r="E348" s="105" t="n"/>
      <c r="F348" s="105" t="n"/>
    </row>
    <row r="349">
      <c r="A349" s="53" t="n"/>
      <c r="B349" s="105" t="n"/>
      <c r="C349" s="105" t="n"/>
      <c r="D349" s="105" t="n"/>
      <c r="E349" s="105" t="n"/>
      <c r="F349" s="105" t="n"/>
    </row>
    <row r="350">
      <c r="A350" s="53" t="n"/>
      <c r="B350" s="105" t="n"/>
      <c r="C350" s="105" t="n"/>
      <c r="D350" s="105" t="n"/>
      <c r="E350" s="105" t="n"/>
      <c r="F350" s="105" t="n"/>
    </row>
    <row r="351">
      <c r="A351" s="53" t="n"/>
      <c r="B351" s="105" t="n"/>
      <c r="C351" s="105" t="n"/>
      <c r="D351" s="105" t="n"/>
      <c r="E351" s="105" t="n"/>
      <c r="F351" s="105" t="n"/>
    </row>
    <row r="352">
      <c r="A352" s="53" t="n"/>
      <c r="B352" s="105" t="n"/>
      <c r="C352" s="105" t="n"/>
      <c r="D352" s="105" t="n"/>
      <c r="E352" s="105" t="n"/>
      <c r="F352" s="105" t="n"/>
    </row>
    <row r="353">
      <c r="A353" s="53" t="n"/>
      <c r="B353" s="105" t="n"/>
      <c r="C353" s="105" t="n"/>
      <c r="D353" s="105" t="n"/>
      <c r="E353" s="105" t="n"/>
      <c r="F353" s="105" t="n"/>
    </row>
    <row r="354">
      <c r="A354" s="53" t="n"/>
      <c r="B354" s="105" t="n"/>
      <c r="C354" s="105" t="n"/>
      <c r="D354" s="105" t="n"/>
      <c r="E354" s="105" t="n"/>
      <c r="F354" s="105" t="n"/>
    </row>
    <row r="355">
      <c r="A355" s="53" t="n"/>
      <c r="B355" s="105" t="n"/>
      <c r="C355" s="105" t="n"/>
      <c r="D355" s="105" t="n"/>
      <c r="E355" s="105" t="n"/>
      <c r="F355" s="105" t="n"/>
    </row>
    <row r="356">
      <c r="A356" s="53" t="n"/>
      <c r="B356" s="105" t="n"/>
      <c r="C356" s="105" t="n"/>
      <c r="D356" s="105" t="n"/>
      <c r="E356" s="105" t="n"/>
      <c r="F356" s="105" t="n"/>
    </row>
    <row r="357">
      <c r="A357" s="53" t="n"/>
      <c r="B357" s="105" t="n"/>
      <c r="C357" s="105" t="n"/>
      <c r="D357" s="105" t="n"/>
      <c r="E357" s="105" t="n"/>
      <c r="F357" s="105" t="n"/>
    </row>
    <row r="358">
      <c r="A358" s="53" t="n"/>
      <c r="B358" s="105" t="n"/>
      <c r="C358" s="105" t="n"/>
      <c r="D358" s="105" t="n"/>
      <c r="E358" s="105" t="n"/>
      <c r="F358" s="105" t="n"/>
    </row>
    <row r="359">
      <c r="A359" s="53" t="n"/>
      <c r="B359" s="105" t="n"/>
      <c r="C359" s="105" t="n"/>
      <c r="D359" s="105" t="n"/>
      <c r="E359" s="105" t="n"/>
      <c r="F359" s="105" t="n"/>
    </row>
    <row r="360">
      <c r="A360" s="53" t="n"/>
      <c r="B360" s="105" t="n"/>
      <c r="C360" s="105" t="n"/>
      <c r="D360" s="105" t="n"/>
      <c r="E360" s="105" t="n"/>
      <c r="F360" s="105" t="n"/>
    </row>
    <row r="361">
      <c r="A361" s="53" t="n"/>
      <c r="B361" s="105" t="n"/>
      <c r="C361" s="105" t="n"/>
      <c r="D361" s="105" t="n"/>
      <c r="E361" s="105" t="n"/>
      <c r="F361" s="105" t="n"/>
    </row>
    <row r="362">
      <c r="A362" s="53" t="n"/>
      <c r="B362" s="105" t="n"/>
      <c r="C362" s="105" t="n"/>
      <c r="D362" s="105" t="n"/>
      <c r="E362" s="105" t="n"/>
      <c r="F362" s="105" t="n"/>
    </row>
    <row r="363">
      <c r="A363" s="53" t="n"/>
      <c r="B363" s="105" t="n"/>
      <c r="C363" s="105" t="n"/>
      <c r="D363" s="105" t="n"/>
      <c r="E363" s="105" t="n"/>
      <c r="F363" s="105" t="n"/>
    </row>
    <row r="364">
      <c r="A364" s="53" t="n"/>
      <c r="B364" s="105" t="n"/>
      <c r="C364" s="105" t="n"/>
      <c r="D364" s="105" t="n"/>
      <c r="E364" s="105" t="n"/>
      <c r="F364" s="105" t="n"/>
    </row>
    <row r="365">
      <c r="A365" s="53" t="n"/>
      <c r="B365" s="105" t="n"/>
      <c r="C365" s="105" t="n"/>
      <c r="D365" s="105" t="n"/>
      <c r="E365" s="105" t="n"/>
      <c r="F365" s="105" t="n"/>
    </row>
    <row r="366">
      <c r="A366" s="53" t="n"/>
      <c r="B366" s="105" t="n"/>
      <c r="C366" s="105" t="n"/>
      <c r="D366" s="105" t="n"/>
      <c r="E366" s="105" t="n"/>
      <c r="F366" s="105" t="n"/>
    </row>
    <row r="367">
      <c r="A367" s="53" t="n"/>
      <c r="B367" s="105" t="n"/>
      <c r="C367" s="105" t="n"/>
      <c r="D367" s="105" t="n"/>
      <c r="E367" s="105" t="n"/>
      <c r="F367" s="105" t="n"/>
    </row>
    <row r="368">
      <c r="A368" s="53" t="n"/>
      <c r="B368" s="105" t="n"/>
      <c r="C368" s="105" t="n"/>
      <c r="D368" s="105" t="n"/>
      <c r="E368" s="105" t="n"/>
      <c r="F368" s="105" t="n"/>
    </row>
    <row r="369">
      <c r="A369" s="53" t="n"/>
      <c r="B369" s="105" t="n"/>
      <c r="C369" s="105" t="n"/>
      <c r="D369" s="105" t="n"/>
      <c r="E369" s="105" t="n"/>
      <c r="F369" s="105" t="n"/>
    </row>
    <row r="370">
      <c r="A370" s="53" t="n"/>
      <c r="B370" s="105" t="n"/>
      <c r="C370" s="105" t="n"/>
      <c r="D370" s="105" t="n"/>
      <c r="E370" s="105" t="n"/>
      <c r="F370" s="105" t="n"/>
    </row>
    <row r="371">
      <c r="A371" s="53" t="n"/>
      <c r="B371" s="105" t="n"/>
      <c r="C371" s="105" t="n"/>
      <c r="D371" s="105" t="n"/>
      <c r="E371" s="105" t="n"/>
      <c r="F371" s="105" t="n"/>
    </row>
    <row r="372">
      <c r="A372" s="53" t="n"/>
      <c r="B372" s="105" t="n"/>
      <c r="C372" s="105" t="n"/>
      <c r="D372" s="105" t="n"/>
      <c r="E372" s="105" t="n"/>
      <c r="F372" s="105" t="n"/>
    </row>
    <row r="373">
      <c r="A373" s="53" t="n"/>
      <c r="B373" s="105" t="n"/>
      <c r="C373" s="105" t="n"/>
      <c r="D373" s="105" t="n"/>
      <c r="E373" s="105" t="n"/>
      <c r="F373" s="105" t="n"/>
    </row>
    <row r="374">
      <c r="A374" s="53" t="n"/>
      <c r="B374" s="105" t="n"/>
      <c r="C374" s="105" t="n"/>
      <c r="D374" s="105" t="n"/>
      <c r="E374" s="105" t="n"/>
      <c r="F374" s="105" t="n"/>
    </row>
    <row r="375">
      <c r="A375" s="53" t="n"/>
      <c r="B375" s="105" t="n"/>
      <c r="C375" s="105" t="n"/>
      <c r="D375" s="105" t="n"/>
      <c r="E375" s="105" t="n"/>
      <c r="F375" s="105" t="n"/>
    </row>
    <row r="376">
      <c r="A376" s="53" t="n"/>
      <c r="B376" s="105" t="n"/>
      <c r="C376" s="105" t="n"/>
      <c r="D376" s="105" t="n"/>
      <c r="E376" s="105" t="n"/>
      <c r="F376" s="105" t="n"/>
    </row>
    <row r="377">
      <c r="A377" s="53" t="n"/>
      <c r="B377" s="105" t="n"/>
      <c r="C377" s="105" t="n"/>
      <c r="D377" s="105" t="n"/>
      <c r="E377" s="105" t="n"/>
      <c r="F377" s="105" t="n"/>
    </row>
    <row r="378">
      <c r="A378" s="53" t="n"/>
      <c r="B378" s="105" t="n"/>
      <c r="C378" s="105" t="n"/>
      <c r="D378" s="105" t="n"/>
      <c r="E378" s="105" t="n"/>
      <c r="F378" s="105" t="n"/>
    </row>
    <row r="379">
      <c r="A379" s="53" t="n"/>
      <c r="B379" s="105" t="n"/>
      <c r="C379" s="105" t="n"/>
      <c r="D379" s="105" t="n"/>
      <c r="E379" s="105" t="n"/>
      <c r="F379" s="105" t="n"/>
    </row>
    <row r="380">
      <c r="A380" s="53" t="n"/>
      <c r="B380" s="105" t="n"/>
      <c r="C380" s="105" t="n"/>
      <c r="D380" s="105" t="n"/>
      <c r="E380" s="105" t="n"/>
      <c r="F380" s="105" t="n"/>
    </row>
    <row r="381">
      <c r="A381" s="53" t="n"/>
      <c r="B381" s="105" t="n"/>
      <c r="C381" s="105" t="n"/>
      <c r="D381" s="105" t="n"/>
      <c r="E381" s="105" t="n"/>
      <c r="F381" s="105" t="n"/>
    </row>
    <row r="382">
      <c r="A382" s="53" t="n"/>
      <c r="B382" s="105" t="n"/>
      <c r="C382" s="105" t="n"/>
      <c r="D382" s="105" t="n"/>
      <c r="E382" s="105" t="n"/>
      <c r="F382" s="105" t="n"/>
    </row>
    <row r="383">
      <c r="A383" s="53" t="n"/>
      <c r="B383" s="105" t="n"/>
      <c r="C383" s="105" t="n"/>
      <c r="D383" s="105" t="n"/>
      <c r="E383" s="105" t="n"/>
      <c r="F383" s="105" t="n"/>
    </row>
    <row r="384">
      <c r="A384" s="53" t="n"/>
      <c r="B384" s="105" t="n"/>
      <c r="C384" s="105" t="n"/>
      <c r="D384" s="105" t="n"/>
      <c r="E384" s="105" t="n"/>
      <c r="F384" s="105" t="n"/>
    </row>
    <row r="385">
      <c r="A385" s="53" t="n"/>
      <c r="B385" s="105" t="n"/>
      <c r="C385" s="105" t="n"/>
      <c r="D385" s="105" t="n"/>
      <c r="E385" s="105" t="n"/>
      <c r="F385" s="105" t="n"/>
    </row>
    <row r="386">
      <c r="A386" s="53" t="n"/>
      <c r="B386" s="105" t="n"/>
      <c r="C386" s="105" t="n"/>
      <c r="D386" s="105" t="n"/>
      <c r="E386" s="105" t="n"/>
      <c r="F386" s="105" t="n"/>
    </row>
    <row r="387">
      <c r="A387" s="53" t="n"/>
      <c r="B387" s="105" t="n"/>
      <c r="C387" s="105" t="n"/>
      <c r="D387" s="105" t="n"/>
      <c r="E387" s="105" t="n"/>
      <c r="F387" s="105" t="n"/>
    </row>
    <row r="388">
      <c r="A388" s="53" t="n"/>
      <c r="B388" s="105" t="n"/>
      <c r="C388" s="105" t="n"/>
      <c r="D388" s="105" t="n"/>
      <c r="E388" s="105" t="n"/>
      <c r="F388" s="105" t="n"/>
    </row>
    <row r="389">
      <c r="A389" s="53" t="n"/>
      <c r="B389" s="105" t="n"/>
      <c r="C389" s="105" t="n"/>
      <c r="D389" s="105" t="n"/>
      <c r="E389" s="105" t="n"/>
      <c r="F389" s="105" t="n"/>
    </row>
    <row r="390">
      <c r="A390" s="53" t="n"/>
      <c r="B390" s="105" t="n"/>
      <c r="C390" s="105" t="n"/>
      <c r="D390" s="105" t="n"/>
      <c r="E390" s="105" t="n"/>
      <c r="F390" s="105" t="n"/>
    </row>
    <row r="391">
      <c r="A391" s="53" t="n"/>
      <c r="B391" s="105" t="n"/>
      <c r="C391" s="105" t="n"/>
      <c r="D391" s="105" t="n"/>
      <c r="E391" s="105" t="n"/>
      <c r="F391" s="105" t="n"/>
    </row>
    <row r="392">
      <c r="A392" s="53" t="n"/>
      <c r="B392" s="105" t="n"/>
      <c r="C392" s="105" t="n"/>
      <c r="D392" s="105" t="n"/>
      <c r="E392" s="105" t="n"/>
      <c r="F392" s="105" t="n"/>
    </row>
    <row r="393">
      <c r="A393" s="53" t="n"/>
      <c r="B393" s="105" t="n"/>
      <c r="C393" s="105" t="n"/>
      <c r="D393" s="105" t="n"/>
      <c r="E393" s="105" t="n"/>
      <c r="F393" s="105" t="n"/>
    </row>
    <row r="394">
      <c r="A394" s="53" t="n"/>
      <c r="B394" s="105" t="n"/>
      <c r="C394" s="105" t="n"/>
      <c r="D394" s="105" t="n"/>
      <c r="E394" s="105" t="n"/>
      <c r="F394" s="105" t="n"/>
    </row>
    <row r="395">
      <c r="A395" s="53" t="n"/>
      <c r="B395" s="105" t="n"/>
      <c r="C395" s="105" t="n"/>
      <c r="D395" s="105" t="n"/>
      <c r="E395" s="105" t="n"/>
      <c r="F395" s="105" t="n"/>
    </row>
    <row r="396">
      <c r="A396" s="53" t="n"/>
      <c r="B396" s="105" t="n"/>
      <c r="C396" s="105" t="n"/>
      <c r="D396" s="105" t="n"/>
      <c r="E396" s="105" t="n"/>
      <c r="F396" s="105" t="n"/>
    </row>
    <row r="397">
      <c r="A397" s="53" t="n"/>
      <c r="B397" s="105" t="n"/>
      <c r="C397" s="105" t="n"/>
      <c r="D397" s="105" t="n"/>
      <c r="E397" s="105" t="n"/>
      <c r="F397" s="105" t="n"/>
    </row>
    <row r="398">
      <c r="A398" s="53" t="n"/>
      <c r="B398" s="105" t="n"/>
      <c r="C398" s="105" t="n"/>
      <c r="D398" s="105" t="n"/>
      <c r="E398" s="105" t="n"/>
      <c r="F398" s="105" t="n"/>
    </row>
    <row r="399">
      <c r="A399" s="53" t="n"/>
      <c r="B399" s="105" t="n"/>
      <c r="C399" s="105" t="n"/>
      <c r="D399" s="105" t="n"/>
      <c r="E399" s="105" t="n"/>
      <c r="F399" s="105" t="n"/>
    </row>
    <row r="400">
      <c r="A400" s="53" t="n"/>
      <c r="B400" s="105" t="n"/>
      <c r="C400" s="105" t="n"/>
      <c r="D400" s="105" t="n"/>
      <c r="E400" s="105" t="n"/>
      <c r="F400" s="105" t="n"/>
    </row>
    <row r="401">
      <c r="A401" s="53" t="n"/>
      <c r="B401" s="105" t="n"/>
      <c r="C401" s="105" t="n"/>
      <c r="D401" s="105" t="n"/>
      <c r="E401" s="105" t="n"/>
      <c r="F401" s="105" t="n"/>
    </row>
    <row r="402">
      <c r="A402" s="53" t="n"/>
      <c r="B402" s="105" t="n"/>
      <c r="C402" s="105" t="n"/>
      <c r="D402" s="105" t="n"/>
      <c r="E402" s="105" t="n"/>
      <c r="F402" s="105" t="n"/>
    </row>
    <row r="403">
      <c r="A403" s="53" t="n"/>
      <c r="B403" s="105" t="n"/>
      <c r="C403" s="105" t="n"/>
      <c r="D403" s="105" t="n"/>
      <c r="E403" s="105" t="n"/>
      <c r="F403" s="105" t="n"/>
    </row>
    <row r="404">
      <c r="A404" s="53" t="n"/>
      <c r="B404" s="105" t="n"/>
      <c r="C404" s="105" t="n"/>
      <c r="D404" s="105" t="n"/>
      <c r="E404" s="105" t="n"/>
      <c r="F404" s="105" t="n"/>
    </row>
    <row r="405">
      <c r="A405" s="53" t="n"/>
      <c r="B405" s="105" t="n"/>
      <c r="C405" s="105" t="n"/>
      <c r="D405" s="105" t="n"/>
      <c r="E405" s="105" t="n"/>
      <c r="F405" s="105" t="n"/>
    </row>
    <row r="406">
      <c r="A406" s="53" t="n"/>
      <c r="B406" s="105" t="n"/>
      <c r="C406" s="105" t="n"/>
      <c r="D406" s="105" t="n"/>
      <c r="E406" s="105" t="n"/>
      <c r="F406" s="105" t="n"/>
    </row>
    <row r="407">
      <c r="A407" s="53" t="n"/>
      <c r="B407" s="105" t="n"/>
      <c r="C407" s="105" t="n"/>
      <c r="D407" s="105" t="n"/>
      <c r="E407" s="105" t="n"/>
      <c r="F407" s="105" t="n"/>
    </row>
    <row r="408">
      <c r="A408" s="53" t="n"/>
      <c r="B408" s="105" t="n"/>
      <c r="C408" s="105" t="n"/>
      <c r="D408" s="105" t="n"/>
      <c r="E408" s="105" t="n"/>
      <c r="F408" s="105" t="n"/>
    </row>
    <row r="409">
      <c r="A409" s="53" t="n"/>
      <c r="B409" s="105" t="n"/>
      <c r="C409" s="105" t="n"/>
      <c r="D409" s="105" t="n"/>
      <c r="E409" s="105" t="n"/>
      <c r="F409" s="105" t="n"/>
    </row>
    <row r="410">
      <c r="A410" s="53" t="n"/>
      <c r="B410" s="105" t="n"/>
      <c r="C410" s="105" t="n"/>
      <c r="D410" s="105" t="n"/>
      <c r="E410" s="105" t="n"/>
      <c r="F410" s="105" t="n"/>
    </row>
    <row r="411">
      <c r="A411" s="53" t="n"/>
      <c r="B411" s="105" t="n"/>
      <c r="C411" s="105" t="n"/>
      <c r="D411" s="105" t="n"/>
      <c r="E411" s="105" t="n"/>
      <c r="F411" s="105" t="n"/>
    </row>
    <row r="412">
      <c r="A412" s="53" t="n"/>
      <c r="B412" s="105" t="n"/>
      <c r="C412" s="105" t="n"/>
      <c r="D412" s="105" t="n"/>
      <c r="E412" s="105" t="n"/>
      <c r="F412" s="105" t="n"/>
    </row>
    <row r="413">
      <c r="A413" s="53" t="n"/>
      <c r="B413" s="105" t="n"/>
      <c r="C413" s="105" t="n"/>
      <c r="D413" s="105" t="n"/>
      <c r="E413" s="105" t="n"/>
      <c r="F413" s="105" t="n"/>
    </row>
    <row r="414">
      <c r="A414" s="53" t="n"/>
      <c r="B414" s="105" t="n"/>
      <c r="C414" s="105" t="n"/>
      <c r="D414" s="105" t="n"/>
      <c r="E414" s="105" t="n"/>
      <c r="F414" s="105" t="n"/>
    </row>
    <row r="415">
      <c r="A415" s="53" t="n"/>
      <c r="B415" s="105" t="n"/>
      <c r="C415" s="105" t="n"/>
      <c r="D415" s="105" t="n"/>
      <c r="E415" s="105" t="n"/>
      <c r="F415" s="105" t="n"/>
    </row>
    <row r="416">
      <c r="A416" s="53" t="n"/>
      <c r="B416" s="105" t="n"/>
      <c r="C416" s="105" t="n"/>
      <c r="D416" s="105" t="n"/>
      <c r="E416" s="105" t="n"/>
      <c r="F416" s="105" t="n"/>
    </row>
    <row r="417">
      <c r="A417" s="53" t="n"/>
      <c r="B417" s="105" t="n"/>
      <c r="C417" s="105" t="n"/>
      <c r="D417" s="105" t="n"/>
      <c r="E417" s="105" t="n"/>
      <c r="F417" s="105" t="n"/>
    </row>
    <row r="418">
      <c r="A418" s="53" t="n"/>
      <c r="B418" s="105" t="n"/>
      <c r="C418" s="105" t="n"/>
      <c r="D418" s="105" t="n"/>
      <c r="E418" s="105" t="n"/>
      <c r="F418" s="105" t="n"/>
    </row>
    <row r="419">
      <c r="A419" s="53" t="n"/>
      <c r="B419" s="105" t="n"/>
      <c r="C419" s="105" t="n"/>
      <c r="D419" s="105" t="n"/>
      <c r="E419" s="105" t="n"/>
      <c r="F419" s="105" t="n"/>
    </row>
    <row r="420">
      <c r="A420" s="53" t="n"/>
      <c r="B420" s="105" t="n"/>
      <c r="C420" s="105" t="n"/>
      <c r="D420" s="105" t="n"/>
      <c r="E420" s="105" t="n"/>
      <c r="F420" s="105" t="n"/>
    </row>
    <row r="421">
      <c r="A421" s="53" t="n"/>
      <c r="B421" s="105" t="n"/>
      <c r="C421" s="105" t="n"/>
      <c r="D421" s="105" t="n"/>
      <c r="E421" s="105" t="n"/>
      <c r="F421" s="105" t="n"/>
    </row>
    <row r="422">
      <c r="A422" s="53" t="n"/>
      <c r="B422" s="105" t="n"/>
      <c r="C422" s="105" t="n"/>
      <c r="D422" s="105" t="n"/>
      <c r="E422" s="105" t="n"/>
      <c r="F422" s="105" t="n"/>
    </row>
    <row r="423">
      <c r="A423" s="53" t="n"/>
      <c r="B423" s="105" t="n"/>
      <c r="C423" s="105" t="n"/>
      <c r="D423" s="105" t="n"/>
      <c r="E423" s="105" t="n"/>
      <c r="F423" s="105" t="n"/>
    </row>
    <row r="424">
      <c r="A424" s="53" t="n"/>
      <c r="B424" s="105" t="n"/>
      <c r="C424" s="105" t="n"/>
      <c r="D424" s="105" t="n"/>
      <c r="E424" s="105" t="n"/>
      <c r="F424" s="105" t="n"/>
    </row>
    <row r="425">
      <c r="A425" s="53" t="n"/>
      <c r="B425" s="105" t="n"/>
      <c r="C425" s="105" t="n"/>
      <c r="D425" s="105" t="n"/>
      <c r="E425" s="105" t="n"/>
      <c r="F425" s="105" t="n"/>
    </row>
    <row r="426">
      <c r="A426" s="53" t="n"/>
      <c r="B426" s="105" t="n"/>
      <c r="C426" s="105" t="n"/>
      <c r="D426" s="105" t="n"/>
      <c r="E426" s="105" t="n"/>
      <c r="F426" s="105" t="n"/>
    </row>
    <row r="427">
      <c r="A427" s="53" t="n"/>
      <c r="B427" s="105" t="n"/>
      <c r="C427" s="105" t="n"/>
      <c r="D427" s="105" t="n"/>
      <c r="E427" s="105" t="n"/>
      <c r="F427" s="105" t="n"/>
    </row>
    <row r="428">
      <c r="A428" s="53" t="n"/>
      <c r="B428" s="105" t="n"/>
      <c r="C428" s="105" t="n"/>
      <c r="D428" s="105" t="n"/>
      <c r="E428" s="105" t="n"/>
      <c r="F428" s="105" t="n"/>
    </row>
    <row r="429">
      <c r="A429" s="53" t="n"/>
      <c r="B429" s="105" t="n"/>
      <c r="C429" s="105" t="n"/>
      <c r="D429" s="105" t="n"/>
      <c r="E429" s="105" t="n"/>
      <c r="F429" s="105" t="n"/>
    </row>
    <row r="430">
      <c r="A430" s="53" t="n"/>
      <c r="B430" s="105" t="n"/>
      <c r="C430" s="105" t="n"/>
      <c r="D430" s="105" t="n"/>
      <c r="E430" s="105" t="n"/>
      <c r="F430" s="105" t="n"/>
    </row>
    <row r="431">
      <c r="A431" s="53" t="n"/>
      <c r="B431" s="105" t="n"/>
      <c r="C431" s="105" t="n"/>
      <c r="D431" s="105" t="n"/>
      <c r="E431" s="105" t="n"/>
      <c r="F431" s="105" t="n"/>
    </row>
    <row r="432">
      <c r="A432" s="53" t="n"/>
      <c r="B432" s="105" t="n"/>
      <c r="C432" s="105" t="n"/>
      <c r="D432" s="105" t="n"/>
      <c r="E432" s="105" t="n"/>
      <c r="F432" s="105" t="n"/>
    </row>
    <row r="433">
      <c r="A433" s="53" t="n"/>
      <c r="B433" s="105" t="n"/>
      <c r="C433" s="105" t="n"/>
      <c r="D433" s="105" t="n"/>
      <c r="E433" s="105" t="n"/>
      <c r="F433" s="105" t="n"/>
    </row>
    <row r="434">
      <c r="A434" s="53" t="n"/>
      <c r="B434" s="105" t="n"/>
      <c r="C434" s="105" t="n"/>
      <c r="D434" s="105" t="n"/>
      <c r="E434" s="105" t="n"/>
      <c r="F434" s="105" t="n"/>
    </row>
    <row r="435">
      <c r="A435" s="53" t="n"/>
      <c r="B435" s="105" t="n"/>
      <c r="C435" s="105" t="n"/>
      <c r="D435" s="105" t="n"/>
      <c r="E435" s="105" t="n"/>
      <c r="F435" s="105" t="n"/>
    </row>
    <row r="436">
      <c r="A436" s="53" t="n"/>
      <c r="B436" s="105" t="n"/>
      <c r="C436" s="105" t="n"/>
      <c r="D436" s="105" t="n"/>
      <c r="E436" s="105" t="n"/>
      <c r="F436" s="105" t="n"/>
    </row>
    <row r="437">
      <c r="A437" s="53" t="n"/>
      <c r="B437" s="105" t="n"/>
      <c r="C437" s="105" t="n"/>
      <c r="D437" s="105" t="n"/>
      <c r="E437" s="105" t="n"/>
      <c r="F437" s="105" t="n"/>
    </row>
    <row r="438">
      <c r="A438" s="53" t="n"/>
      <c r="B438" s="105" t="n"/>
      <c r="C438" s="105" t="n"/>
      <c r="D438" s="105" t="n"/>
      <c r="E438" s="105" t="n"/>
      <c r="F438" s="105" t="n"/>
    </row>
    <row r="439">
      <c r="A439" s="53" t="n"/>
      <c r="B439" s="105" t="n"/>
      <c r="C439" s="105" t="n"/>
      <c r="D439" s="105" t="n"/>
      <c r="E439" s="105" t="n"/>
      <c r="F439" s="105" t="n"/>
    </row>
    <row r="440">
      <c r="A440" s="53" t="n"/>
      <c r="B440" s="105" t="n"/>
      <c r="C440" s="105" t="n"/>
      <c r="D440" s="105" t="n"/>
      <c r="E440" s="105" t="n"/>
      <c r="F440" s="105" t="n"/>
    </row>
    <row r="441">
      <c r="A441" s="53" t="n"/>
      <c r="B441" s="105" t="n"/>
      <c r="C441" s="105" t="n"/>
      <c r="D441" s="105" t="n"/>
      <c r="E441" s="105" t="n"/>
      <c r="F441" s="105" t="n"/>
    </row>
    <row r="442">
      <c r="A442" s="53" t="n"/>
      <c r="B442" s="105" t="n"/>
      <c r="C442" s="105" t="n"/>
      <c r="D442" s="105" t="n"/>
      <c r="E442" s="105" t="n"/>
      <c r="F442" s="105" t="n"/>
    </row>
    <row r="443">
      <c r="A443" s="53" t="n"/>
      <c r="B443" s="105" t="n"/>
      <c r="C443" s="105" t="n"/>
      <c r="D443" s="105" t="n"/>
      <c r="E443" s="105" t="n"/>
      <c r="F443" s="105" t="n"/>
    </row>
    <row r="444">
      <c r="A444" s="53" t="n"/>
      <c r="B444" s="105" t="n"/>
      <c r="C444" s="105" t="n"/>
      <c r="D444" s="105" t="n"/>
      <c r="E444" s="105" t="n"/>
      <c r="F444" s="105" t="n"/>
    </row>
    <row r="445">
      <c r="A445" s="53" t="n"/>
      <c r="B445" s="105" t="n"/>
      <c r="C445" s="105" t="n"/>
      <c r="D445" s="105" t="n"/>
      <c r="E445" s="105" t="n"/>
      <c r="F445" s="105" t="n"/>
    </row>
    <row r="446">
      <c r="A446" s="53" t="n"/>
      <c r="B446" s="105" t="n"/>
      <c r="C446" s="105" t="n"/>
      <c r="D446" s="105" t="n"/>
      <c r="E446" s="105" t="n"/>
      <c r="F446" s="105" t="n"/>
    </row>
    <row r="447">
      <c r="A447" s="53" t="n"/>
      <c r="B447" s="105" t="n"/>
      <c r="C447" s="105" t="n"/>
      <c r="D447" s="105" t="n"/>
      <c r="E447" s="105" t="n"/>
      <c r="F447" s="105" t="n"/>
    </row>
    <row r="448">
      <c r="A448" s="53" t="n"/>
      <c r="B448" s="105" t="n"/>
      <c r="C448" s="105" t="n"/>
      <c r="D448" s="105" t="n"/>
      <c r="E448" s="105" t="n"/>
      <c r="F448" s="105" t="n"/>
    </row>
    <row r="449">
      <c r="A449" s="53" t="n"/>
      <c r="B449" s="105" t="n"/>
      <c r="C449" s="105" t="n"/>
      <c r="D449" s="105" t="n"/>
      <c r="E449" s="105" t="n"/>
      <c r="F449" s="105" t="n"/>
    </row>
    <row r="450">
      <c r="A450" s="53" t="n"/>
      <c r="B450" s="105" t="n"/>
      <c r="C450" s="105" t="n"/>
      <c r="D450" s="105" t="n"/>
      <c r="E450" s="105" t="n"/>
      <c r="F450" s="105" t="n"/>
    </row>
    <row r="451">
      <c r="A451" s="53" t="n"/>
      <c r="B451" s="105" t="n"/>
      <c r="C451" s="105" t="n"/>
      <c r="D451" s="105" t="n"/>
      <c r="E451" s="105" t="n"/>
      <c r="F451" s="105" t="n"/>
    </row>
    <row r="452">
      <c r="A452" s="53" t="n"/>
      <c r="B452" s="105" t="n"/>
      <c r="C452" s="105" t="n"/>
      <c r="D452" s="105" t="n"/>
      <c r="E452" s="105" t="n"/>
      <c r="F452" s="105" t="n"/>
    </row>
    <row r="453">
      <c r="A453" s="53" t="n"/>
      <c r="B453" s="105" t="n"/>
      <c r="C453" s="105" t="n"/>
      <c r="D453" s="105" t="n"/>
      <c r="E453" s="105" t="n"/>
      <c r="F453" s="105" t="n"/>
    </row>
    <row r="454">
      <c r="A454" s="53" t="n"/>
      <c r="B454" s="105" t="n"/>
      <c r="C454" s="105" t="n"/>
      <c r="D454" s="105" t="n"/>
      <c r="E454" s="105" t="n"/>
      <c r="F454" s="105" t="n"/>
    </row>
    <row r="455">
      <c r="A455" s="53" t="n"/>
      <c r="B455" s="105" t="n"/>
      <c r="C455" s="105" t="n"/>
      <c r="D455" s="105" t="n"/>
      <c r="E455" s="105" t="n"/>
      <c r="F455" s="105" t="n"/>
    </row>
    <row r="456">
      <c r="A456" s="53" t="n"/>
      <c r="B456" s="105" t="n"/>
      <c r="C456" s="105" t="n"/>
      <c r="D456" s="105" t="n"/>
      <c r="E456" s="105" t="n"/>
      <c r="F456" s="105" t="n"/>
    </row>
    <row r="457">
      <c r="A457" s="53" t="n"/>
      <c r="B457" s="105" t="n"/>
      <c r="C457" s="105" t="n"/>
      <c r="D457" s="105" t="n"/>
      <c r="E457" s="105" t="n"/>
      <c r="F457" s="105" t="n"/>
    </row>
    <row r="458">
      <c r="A458" s="53" t="n"/>
      <c r="B458" s="105" t="n"/>
      <c r="C458" s="105" t="n"/>
      <c r="D458" s="105" t="n"/>
      <c r="E458" s="105" t="n"/>
      <c r="F458" s="105" t="n"/>
    </row>
  </sheetData>
  <pageMargins left="0.27" right="0.32" top="0.4" bottom="0.8" header="0.5" footer="0.5"/>
  <pageSetup orientation="portrait" paperSize="9" scale="9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0"/>
  <sheetViews>
    <sheetView workbookViewId="0">
      <selection activeCell="A1" sqref="A1"/>
    </sheetView>
  </sheetViews>
  <sheetFormatPr baseColWidth="8" defaultRowHeight="15"/>
  <sheetData>
    <row r="1">
      <c r="A1" s="111" t="inlineStr">
        <is>
          <t>品號</t>
        </is>
      </c>
      <c r="B1" s="111" t="inlineStr">
        <is>
          <t>機型</t>
        </is>
      </c>
      <c r="C1" s="111" t="inlineStr">
        <is>
          <t>素材</t>
        </is>
      </c>
      <c r="D1" s="111" t="inlineStr">
        <is>
          <t>製程4</t>
        </is>
      </c>
      <c r="E1" s="111" t="inlineStr">
        <is>
          <t>製程3成品</t>
        </is>
      </c>
      <c r="F1" s="111" t="inlineStr">
        <is>
          <t>研磨成品</t>
        </is>
      </c>
      <c r="G1" s="111" t="inlineStr">
        <is>
          <t>報廢品</t>
        </is>
      </c>
      <c r="H1" s="111" t="inlineStr">
        <is>
          <t>總數</t>
        </is>
      </c>
      <c r="I1" s="111" t="inlineStr">
        <is>
          <t>預扣件</t>
        </is>
      </c>
      <c r="J1" s="111" t="inlineStr">
        <is>
          <t>報廢品.1</t>
        </is>
      </c>
      <c r="K1" s="111" t="inlineStr">
        <is>
          <t>研-09-09</t>
        </is>
      </c>
      <c r="L1" s="111" t="inlineStr">
        <is>
          <t>Unnamed: 11</t>
        </is>
      </c>
      <c r="M1" s="111" t="inlineStr">
        <is>
          <t>Unnamed: 12</t>
        </is>
      </c>
      <c r="N1" s="111" t="inlineStr">
        <is>
          <t>已開單</t>
        </is>
      </c>
      <c r="O1" s="111" t="inlineStr">
        <is>
          <t>Unnamed: 14</t>
        </is>
      </c>
    </row>
    <row r="2">
      <c r="A2" s="53" t="n">
        <v>8810001322</v>
      </c>
      <c r="B2" s="53" t="inlineStr">
        <is>
          <t>HSA-2212</t>
        </is>
      </c>
      <c r="C2" s="53" t="n">
        <v>0</v>
      </c>
      <c r="D2" s="53" t="n">
        <v>0</v>
      </c>
      <c r="E2" s="53" t="n">
        <v>0</v>
      </c>
      <c r="F2" s="53" t="n">
        <v>0</v>
      </c>
      <c r="G2" s="53" t="inlineStr"/>
      <c r="H2" s="53" t="n">
        <v>0</v>
      </c>
      <c r="I2" s="53" t="inlineStr"/>
      <c r="J2" s="53" t="inlineStr"/>
      <c r="K2" s="53" t="n">
        <v>3</v>
      </c>
      <c r="L2" s="53" t="inlineStr"/>
      <c r="M2" s="53" t="inlineStr"/>
      <c r="N2" s="53" t="inlineStr"/>
      <c r="O2" s="53" t="inlineStr"/>
    </row>
    <row r="3">
      <c r="A3" s="53" t="n">
        <v>8810001323</v>
      </c>
      <c r="B3" s="53" t="inlineStr">
        <is>
          <t>HSA-2212(一體式-200H)</t>
        </is>
      </c>
      <c r="C3" s="53" t="n">
        <v>0</v>
      </c>
      <c r="D3" s="53" t="n">
        <v>0</v>
      </c>
      <c r="E3" s="53" t="n">
        <v>0</v>
      </c>
      <c r="F3" s="53" t="n">
        <v>0</v>
      </c>
      <c r="G3" s="53" t="inlineStr"/>
      <c r="H3" s="53" t="inlineStr"/>
      <c r="I3" s="53" t="inlineStr"/>
      <c r="J3" s="53" t="inlineStr"/>
      <c r="K3" s="53" t="inlineStr"/>
      <c r="L3" s="53" t="inlineStr"/>
      <c r="M3" s="53" t="inlineStr"/>
      <c r="N3" s="53" t="inlineStr"/>
      <c r="O3" s="53" t="inlineStr"/>
    </row>
    <row r="4">
      <c r="A4" s="53" t="n">
        <v>8810001324</v>
      </c>
      <c r="B4" s="53" t="inlineStr">
        <is>
          <t>HSA-3212</t>
        </is>
      </c>
      <c r="C4" s="53" t="n">
        <v>0</v>
      </c>
      <c r="D4" s="53" t="n">
        <v>0</v>
      </c>
      <c r="E4" s="53" t="n">
        <v>0</v>
      </c>
      <c r="F4" s="53" t="n">
        <v>0</v>
      </c>
      <c r="G4" s="53" t="inlineStr"/>
      <c r="H4" s="53" t="inlineStr"/>
      <c r="I4" s="53" t="inlineStr"/>
      <c r="J4" s="53" t="inlineStr"/>
      <c r="K4" s="53" t="inlineStr"/>
      <c r="L4" s="53" t="inlineStr"/>
      <c r="M4" s="53" t="inlineStr"/>
      <c r="N4" s="53" t="inlineStr"/>
      <c r="O4" s="53" t="inlineStr"/>
    </row>
    <row r="5">
      <c r="A5" s="53" t="n">
        <v>8810001205</v>
      </c>
      <c r="B5" s="53" t="inlineStr">
        <is>
          <t>HEP-2150</t>
        </is>
      </c>
      <c r="C5" s="53" t="n">
        <v>0</v>
      </c>
      <c r="D5" s="53" t="n">
        <v>0</v>
      </c>
      <c r="E5" s="53" t="n">
        <v>0</v>
      </c>
      <c r="F5" s="53" t="n">
        <v>0</v>
      </c>
      <c r="G5" s="53" t="inlineStr"/>
      <c r="H5" s="53" t="inlineStr"/>
      <c r="I5" s="53" t="inlineStr"/>
      <c r="J5" s="53" t="inlineStr"/>
      <c r="K5" s="53" t="inlineStr"/>
      <c r="L5" s="53" t="inlineStr">
        <is>
          <t>HEP-2150</t>
        </is>
      </c>
      <c r="M5" s="53" t="inlineStr"/>
      <c r="N5" s="53" t="inlineStr"/>
      <c r="O5" s="53" t="inlineStr"/>
    </row>
    <row r="6">
      <c r="A6" s="53" t="n">
        <v>8810001442</v>
      </c>
      <c r="B6" s="53" t="inlineStr">
        <is>
          <t>HEP-2150(一體式-標準)</t>
        </is>
      </c>
      <c r="C6" s="53" t="n">
        <v>0</v>
      </c>
      <c r="D6" s="53" t="n">
        <v>0</v>
      </c>
      <c r="E6" s="53" t="n">
        <v>0</v>
      </c>
      <c r="F6" s="53" t="n">
        <v>0</v>
      </c>
      <c r="G6" s="53" t="inlineStr"/>
      <c r="H6" s="53" t="inlineStr"/>
      <c r="I6" s="53" t="inlineStr"/>
      <c r="J6" s="53" t="inlineStr"/>
      <c r="K6" s="53" t="inlineStr"/>
      <c r="L6" s="53" t="inlineStr"/>
      <c r="M6" s="53" t="inlineStr"/>
      <c r="N6" s="53" t="inlineStr"/>
      <c r="O6" s="53" t="inlineStr"/>
    </row>
    <row r="7">
      <c r="A7" s="53" t="n">
        <v>8810001490</v>
      </c>
      <c r="B7" s="53" t="inlineStr">
        <is>
          <t>HSA-216(一體式-標準)</t>
        </is>
      </c>
      <c r="C7" s="53" t="n">
        <v>0</v>
      </c>
      <c r="D7" s="53" t="n">
        <v>0</v>
      </c>
      <c r="E7" s="53" t="n">
        <v>0</v>
      </c>
      <c r="F7" s="53" t="n">
        <v>4</v>
      </c>
      <c r="G7" s="53" t="inlineStr"/>
      <c r="H7" s="53" t="n">
        <v>4</v>
      </c>
      <c r="I7" s="53" t="inlineStr"/>
      <c r="J7" s="53" t="inlineStr"/>
      <c r="K7" s="53" t="n">
        <v>4</v>
      </c>
      <c r="L7" s="53" t="inlineStr"/>
      <c r="M7" s="53" t="inlineStr"/>
      <c r="N7" s="53" t="inlineStr"/>
      <c r="O7" s="53" t="inlineStr"/>
    </row>
    <row r="8">
      <c r="A8" s="53" t="n">
        <v>8810001492</v>
      </c>
      <c r="B8" s="53" t="inlineStr">
        <is>
          <t>HEP-216(一體式-100H)</t>
        </is>
      </c>
      <c r="C8" s="53" t="n">
        <v>0</v>
      </c>
      <c r="D8" s="53" t="n">
        <v>0</v>
      </c>
      <c r="E8" s="53" t="n">
        <v>0</v>
      </c>
      <c r="F8" s="53" t="n">
        <v>0</v>
      </c>
      <c r="G8" s="53" t="inlineStr"/>
      <c r="H8" s="53" t="inlineStr"/>
      <c r="I8" s="53" t="inlineStr"/>
      <c r="J8" s="53" t="inlineStr"/>
      <c r="K8" s="53" t="inlineStr"/>
      <c r="L8" s="53" t="inlineStr"/>
      <c r="M8" s="53" t="inlineStr"/>
      <c r="N8" s="53" t="inlineStr"/>
      <c r="O8" s="53" t="inlineStr"/>
    </row>
    <row r="9">
      <c r="A9" s="53" t="n">
        <v>8810001494</v>
      </c>
      <c r="B9" s="53" t="inlineStr">
        <is>
          <t>HEP-216(一體式-200H)</t>
        </is>
      </c>
      <c r="C9" s="53" t="n">
        <v>0</v>
      </c>
      <c r="D9" s="53" t="n">
        <v>0</v>
      </c>
      <c r="E9" s="53" t="n">
        <v>0</v>
      </c>
      <c r="F9" s="53" t="n">
        <v>0</v>
      </c>
      <c r="G9" s="53" t="inlineStr"/>
      <c r="H9" s="53" t="inlineStr"/>
      <c r="I9" s="53" t="inlineStr"/>
      <c r="J9" s="53" t="inlineStr"/>
      <c r="K9" s="53" t="inlineStr"/>
      <c r="L9" s="53" t="inlineStr"/>
      <c r="M9" s="53" t="inlineStr"/>
      <c r="N9" s="53" t="inlineStr"/>
      <c r="O9" s="53" t="inlineStr"/>
    </row>
    <row r="10">
      <c r="A10" s="53" t="n">
        <v>8810001080</v>
      </c>
      <c r="B10" s="53" t="inlineStr">
        <is>
          <t>HEP-3150</t>
        </is>
      </c>
      <c r="C10" s="53" t="n">
        <v>0</v>
      </c>
      <c r="D10" s="53" t="n">
        <v>0</v>
      </c>
      <c r="E10" s="53" t="n">
        <v>0</v>
      </c>
      <c r="F10" s="53" t="n">
        <v>0</v>
      </c>
      <c r="G10" s="53" t="inlineStr"/>
      <c r="H10" s="53" t="inlineStr"/>
      <c r="I10" s="53" t="inlineStr"/>
      <c r="J10" s="53" t="inlineStr"/>
      <c r="K10" s="53" t="inlineStr"/>
      <c r="L10" s="53" t="inlineStr">
        <is>
          <t>HEP-3150</t>
        </is>
      </c>
      <c r="M10" s="53" t="inlineStr"/>
      <c r="N10" s="53" t="inlineStr"/>
      <c r="O10" s="53" t="inlineStr"/>
    </row>
    <row r="11">
      <c r="A11" s="53" t="n">
        <v>8810001445</v>
      </c>
      <c r="B11" s="53" t="inlineStr">
        <is>
          <t>HEP-3150(一體式-Z-80)</t>
        </is>
      </c>
      <c r="C11" s="53" t="n">
        <v>0</v>
      </c>
      <c r="D11" s="53" t="n">
        <v>0</v>
      </c>
      <c r="E11" s="53" t="n">
        <v>0</v>
      </c>
      <c r="F11" s="53" t="n">
        <v>0</v>
      </c>
      <c r="G11" s="53" t="inlineStr"/>
      <c r="H11" s="53" t="inlineStr"/>
      <c r="I11" s="53" t="inlineStr"/>
      <c r="J11" s="53" t="inlineStr"/>
      <c r="K11" s="53" t="inlineStr"/>
      <c r="L11" s="53" t="inlineStr"/>
      <c r="M11" s="53" t="inlineStr"/>
      <c r="N11" s="53" t="inlineStr"/>
      <c r="O11" s="53" t="inlineStr"/>
    </row>
    <row r="12">
      <c r="A12" s="53" t="n">
        <v>8810001443</v>
      </c>
      <c r="B12" s="53" t="inlineStr">
        <is>
          <t>HEP-3150(一體式-標準)</t>
        </is>
      </c>
      <c r="C12" s="53" t="n">
        <v>0</v>
      </c>
      <c r="D12" s="53" t="n">
        <v>0</v>
      </c>
      <c r="E12" s="53" t="n">
        <v>0</v>
      </c>
      <c r="F12" s="53" t="n">
        <v>0</v>
      </c>
      <c r="G12" s="53" t="inlineStr"/>
      <c r="H12" s="53" t="inlineStr"/>
      <c r="I12" s="53" t="inlineStr"/>
      <c r="J12" s="53" t="inlineStr"/>
      <c r="K12" s="53" t="inlineStr"/>
      <c r="L12" s="53" t="inlineStr"/>
      <c r="M12" s="53" t="inlineStr"/>
      <c r="N12" s="53" t="inlineStr"/>
      <c r="O12" s="53" t="inlineStr"/>
    </row>
    <row r="13">
      <c r="A13" s="53" t="n">
        <v>8810001491</v>
      </c>
      <c r="B13" s="53" t="inlineStr">
        <is>
          <t>HSA-316(一體式-標準)</t>
        </is>
      </c>
      <c r="C13" s="53" t="n">
        <v>0</v>
      </c>
      <c r="D13" s="53" t="n">
        <v>0</v>
      </c>
      <c r="E13" s="53" t="n">
        <v>1</v>
      </c>
      <c r="F13" s="53" t="n">
        <v>3</v>
      </c>
      <c r="G13" s="53" t="inlineStr"/>
      <c r="H13" s="53" t="inlineStr"/>
      <c r="I13" s="53" t="inlineStr"/>
      <c r="J13" s="53" t="inlineStr"/>
      <c r="K13" s="53" t="n">
        <v>4</v>
      </c>
      <c r="L13" s="53" t="inlineStr"/>
      <c r="M13" s="53" t="inlineStr"/>
      <c r="N13" s="53" t="inlineStr"/>
      <c r="O13" s="53" t="inlineStr"/>
    </row>
    <row r="14">
      <c r="A14" s="53" t="n">
        <v>8810001493</v>
      </c>
      <c r="B14" s="53" t="inlineStr">
        <is>
          <t>HSA-316(一體式-100H)</t>
        </is>
      </c>
      <c r="C14" s="53" t="n">
        <v>0</v>
      </c>
      <c r="D14" s="53" t="n">
        <v>0</v>
      </c>
      <c r="E14" s="53" t="n">
        <v>0</v>
      </c>
      <c r="F14" s="53" t="n">
        <v>0</v>
      </c>
      <c r="G14" s="53" t="inlineStr"/>
      <c r="H14" s="53" t="inlineStr"/>
      <c r="I14" s="53" t="inlineStr"/>
      <c r="J14" s="53" t="inlineStr"/>
      <c r="K14" s="53" t="inlineStr"/>
      <c r="L14" s="53" t="inlineStr"/>
      <c r="M14" s="53" t="inlineStr"/>
      <c r="N14" s="53" t="inlineStr"/>
      <c r="O14" s="53" t="inlineStr"/>
    </row>
    <row r="15">
      <c r="A15" s="53" t="n">
        <v>8810001495</v>
      </c>
      <c r="B15" s="53" t="inlineStr">
        <is>
          <t>HSA-316(一體式-200H)</t>
        </is>
      </c>
      <c r="C15" s="53" t="n">
        <v>0</v>
      </c>
      <c r="D15" s="53" t="n">
        <v>0</v>
      </c>
      <c r="E15" s="53" t="n">
        <v>0</v>
      </c>
      <c r="F15" s="53" t="n">
        <v>0</v>
      </c>
      <c r="G15" s="53" t="inlineStr"/>
      <c r="H15" s="53" t="inlineStr"/>
      <c r="I15" s="53" t="inlineStr"/>
      <c r="J15" s="53" t="inlineStr"/>
      <c r="K15" s="53" t="inlineStr"/>
      <c r="L15" s="53" t="inlineStr"/>
      <c r="M15" s="53" t="inlineStr"/>
      <c r="N15" s="53" t="inlineStr"/>
      <c r="O15" s="53" t="inlineStr"/>
    </row>
    <row r="16">
      <c r="A16" s="53" t="n">
        <v>8810001421</v>
      </c>
      <c r="B16" s="53" t="inlineStr">
        <is>
          <t>HSA-220</t>
        </is>
      </c>
      <c r="C16" s="53" t="n">
        <v>0</v>
      </c>
      <c r="D16" s="53" t="n">
        <v>0</v>
      </c>
      <c r="E16" s="53" t="n">
        <v>0</v>
      </c>
      <c r="F16" s="53" t="n">
        <v>0</v>
      </c>
      <c r="G16" s="53" t="inlineStr"/>
      <c r="H16" s="53" t="inlineStr"/>
      <c r="I16" s="53" t="inlineStr"/>
      <c r="J16" s="53" t="inlineStr"/>
      <c r="K16" s="53" t="inlineStr"/>
      <c r="L16" s="53" t="inlineStr">
        <is>
          <t>HSA-220</t>
        </is>
      </c>
      <c r="M16" s="53" t="inlineStr"/>
      <c r="N16" s="53" t="inlineStr"/>
      <c r="O16" s="53" t="inlineStr"/>
    </row>
    <row r="17">
      <c r="A17" s="53" t="n">
        <v>8810001422</v>
      </c>
      <c r="B17" s="53" t="inlineStr">
        <is>
          <t>HSA-320</t>
        </is>
      </c>
      <c r="C17" s="53" t="n">
        <v>0</v>
      </c>
      <c r="D17" s="53" t="n">
        <v>0</v>
      </c>
      <c r="E17" s="53" t="n">
        <v>0</v>
      </c>
      <c r="F17" s="53" t="n">
        <v>0</v>
      </c>
      <c r="G17" s="53" t="inlineStr"/>
      <c r="H17" s="53" t="inlineStr"/>
      <c r="I17" s="53" t="inlineStr"/>
      <c r="J17" s="53" t="inlineStr"/>
      <c r="K17" s="53" t="inlineStr"/>
      <c r="L17" s="53" t="inlineStr">
        <is>
          <t>HSA-320</t>
        </is>
      </c>
      <c r="M17" s="53" t="inlineStr"/>
      <c r="N17" s="53" t="n">
        <v>2</v>
      </c>
      <c r="O17" s="53" t="inlineStr"/>
    </row>
    <row r="18">
      <c r="A18" s="53" t="n">
        <v>8810001534</v>
      </c>
      <c r="B18" s="53" t="inlineStr">
        <is>
          <t>HSA-320_NEO</t>
        </is>
      </c>
      <c r="C18" s="53" t="n">
        <v>0</v>
      </c>
      <c r="D18" s="53" t="n">
        <v>0</v>
      </c>
      <c r="E18" s="53" t="n">
        <v>0</v>
      </c>
      <c r="F18" s="53" t="n">
        <v>0</v>
      </c>
      <c r="G18" s="53" t="inlineStr"/>
      <c r="H18" s="53" t="inlineStr"/>
      <c r="I18" s="53" t="inlineStr"/>
      <c r="J18" s="53" t="inlineStr"/>
      <c r="K18" s="53" t="inlineStr"/>
      <c r="L18" s="53" t="inlineStr"/>
      <c r="M18" s="53" t="inlineStr"/>
      <c r="N18" s="53" t="inlineStr"/>
      <c r="O18" s="53" t="inlineStr"/>
    </row>
    <row r="19">
      <c r="A19" s="53" t="n">
        <v>8810001316</v>
      </c>
      <c r="B19" s="53" t="inlineStr">
        <is>
          <t>HSA-323</t>
        </is>
      </c>
      <c r="C19" s="53" t="n">
        <v>0</v>
      </c>
      <c r="D19" s="53" t="n">
        <v>0</v>
      </c>
      <c r="E19" s="53" t="n">
        <v>0</v>
      </c>
      <c r="F19" s="53" t="n">
        <v>1</v>
      </c>
      <c r="G19" s="53" t="inlineStr"/>
      <c r="H19" s="53" t="inlineStr"/>
      <c r="I19" s="53" t="inlineStr"/>
      <c r="J19" s="53" t="inlineStr"/>
      <c r="K19" s="53" t="inlineStr"/>
      <c r="L19" s="53" t="inlineStr">
        <is>
          <t>HSA323</t>
        </is>
      </c>
      <c r="M19" s="53" t="inlineStr">
        <is>
          <t>M4:5.5HR,M3:32HR</t>
        </is>
      </c>
      <c r="N19" s="53" t="inlineStr"/>
      <c r="O19" s="53" t="inlineStr"/>
    </row>
    <row r="20">
      <c r="A20" s="53" t="n">
        <v>8810001425</v>
      </c>
      <c r="B20" s="53" t="inlineStr">
        <is>
          <t>HSA-328</t>
        </is>
      </c>
      <c r="C20" s="53" t="n">
        <v>0</v>
      </c>
      <c r="D20" s="53" t="n">
        <v>0</v>
      </c>
      <c r="E20" s="53" t="n">
        <v>1</v>
      </c>
      <c r="F20" s="53" t="n">
        <v>0</v>
      </c>
      <c r="G20" s="53" t="inlineStr"/>
      <c r="H20" s="53" t="inlineStr"/>
      <c r="I20" s="53" t="inlineStr"/>
      <c r="J20" s="53" t="inlineStr"/>
      <c r="K20" s="53" t="inlineStr"/>
      <c r="L20" s="53" t="inlineStr">
        <is>
          <t>HSA328</t>
        </is>
      </c>
      <c r="M20" s="53" t="inlineStr"/>
      <c r="N20" s="53" t="inlineStr"/>
      <c r="O20" s="53" t="inlineStr"/>
    </row>
    <row r="21">
      <c r="A21" s="53" t="n">
        <v>8810001317</v>
      </c>
      <c r="B21" s="53" t="inlineStr">
        <is>
          <t>HSA-327</t>
        </is>
      </c>
      <c r="C21" s="53" t="n">
        <v>0</v>
      </c>
      <c r="D21" s="53" t="n">
        <v>0</v>
      </c>
      <c r="E21" s="53" t="n">
        <v>0</v>
      </c>
      <c r="F21" s="53" t="n">
        <v>0</v>
      </c>
      <c r="G21" s="53" t="inlineStr"/>
      <c r="H21" s="53" t="inlineStr"/>
      <c r="I21" s="53" t="n">
        <v>0</v>
      </c>
      <c r="J21" s="53" t="inlineStr"/>
      <c r="K21" s="53" t="inlineStr"/>
      <c r="L21" s="53" t="inlineStr">
        <is>
          <t>HSA327</t>
        </is>
      </c>
      <c r="M21" s="53" t="inlineStr"/>
      <c r="N21" s="53" t="inlineStr"/>
      <c r="O21" s="53" t="inlineStr"/>
    </row>
    <row r="22">
      <c r="A22" s="53" t="n">
        <v>8810001423</v>
      </c>
      <c r="B22" s="53" t="inlineStr">
        <is>
          <t>HSA-420</t>
        </is>
      </c>
      <c r="C22" s="53" t="n">
        <v>0</v>
      </c>
      <c r="D22" s="53" t="n">
        <v>0</v>
      </c>
      <c r="E22" s="53" t="n">
        <v>0</v>
      </c>
      <c r="F22" s="53" t="n">
        <v>0</v>
      </c>
      <c r="G22" s="53" t="inlineStr"/>
      <c r="H22" s="53" t="inlineStr"/>
      <c r="I22" s="53" t="inlineStr"/>
      <c r="J22" s="53" t="inlineStr"/>
      <c r="K22" s="53" t="inlineStr"/>
      <c r="L22" s="53" t="inlineStr">
        <is>
          <t>HSA-420</t>
        </is>
      </c>
      <c r="M22" s="53" t="inlineStr"/>
      <c r="N22" s="53" t="n">
        <v>1</v>
      </c>
      <c r="O22" s="53" t="inlineStr"/>
    </row>
    <row r="23">
      <c r="A23" s="53" t="n">
        <v>8810001277</v>
      </c>
      <c r="B23" s="53" t="inlineStr">
        <is>
          <t>HSA-423</t>
        </is>
      </c>
      <c r="C23" s="53" t="n">
        <v>1</v>
      </c>
      <c r="D23" s="53" t="n">
        <v>1</v>
      </c>
      <c r="E23" s="53" t="n">
        <v>1</v>
      </c>
      <c r="F23" s="53" t="n">
        <v>0</v>
      </c>
      <c r="G23" s="53" t="inlineStr"/>
      <c r="H23" s="53" t="n">
        <v>3</v>
      </c>
      <c r="I23" s="53" t="inlineStr"/>
      <c r="J23" s="53" t="inlineStr"/>
      <c r="K23" s="53" t="n">
        <v>2</v>
      </c>
      <c r="L23" s="53" t="inlineStr">
        <is>
          <t>HSA423</t>
        </is>
      </c>
      <c r="M23" s="53" t="inlineStr">
        <is>
          <t>M4:6.5HR，M3:46.5HR</t>
        </is>
      </c>
      <c r="N23" s="53" t="n">
        <v>1</v>
      </c>
      <c r="O23" s="53" t="inlineStr"/>
    </row>
    <row r="24">
      <c r="A24" s="53" t="n">
        <v>8810001250</v>
      </c>
      <c r="B24" s="53" t="inlineStr">
        <is>
          <t>HSA423-NEO</t>
        </is>
      </c>
      <c r="C24" s="53" t="n">
        <v>0</v>
      </c>
      <c r="D24" s="53" t="n">
        <v>0</v>
      </c>
      <c r="E24" s="53" t="n">
        <v>0</v>
      </c>
      <c r="F24" s="53" t="n">
        <v>0</v>
      </c>
      <c r="G24" s="53" t="inlineStr"/>
      <c r="H24" s="53" t="inlineStr"/>
      <c r="I24" s="53" t="inlineStr"/>
      <c r="J24" s="53" t="inlineStr"/>
      <c r="K24" s="53" t="inlineStr"/>
      <c r="L24" s="53" t="inlineStr"/>
      <c r="M24" s="53" t="inlineStr"/>
      <c r="N24" s="53" t="inlineStr"/>
      <c r="O24" s="53" t="inlineStr"/>
    </row>
    <row r="25">
      <c r="A25" s="53" t="n">
        <v>8810001278</v>
      </c>
      <c r="B25" s="53" t="inlineStr">
        <is>
          <t>HSA-427</t>
        </is>
      </c>
      <c r="C25" s="53" t="n">
        <v>0</v>
      </c>
      <c r="D25" s="53" t="n">
        <v>0</v>
      </c>
      <c r="E25" s="53" t="n">
        <v>1</v>
      </c>
      <c r="F25" s="53" t="n">
        <v>0</v>
      </c>
      <c r="G25" s="53" t="inlineStr"/>
      <c r="H25" s="53" t="n">
        <v>1</v>
      </c>
      <c r="I25" s="53" t="inlineStr"/>
      <c r="J25" s="53" t="inlineStr"/>
      <c r="K25" s="53" t="inlineStr"/>
      <c r="L25" s="53" t="inlineStr">
        <is>
          <t>HSA427</t>
        </is>
      </c>
      <c r="M25" s="53" t="inlineStr"/>
      <c r="N25" s="53" t="inlineStr"/>
      <c r="O25" s="53" t="inlineStr"/>
    </row>
    <row r="26">
      <c r="A26" s="53" t="n">
        <v>8810001252</v>
      </c>
      <c r="B26" s="53" t="inlineStr">
        <is>
          <t>HSA-428</t>
        </is>
      </c>
      <c r="C26" s="53" t="n">
        <v>0</v>
      </c>
      <c r="D26" s="53" t="n">
        <v>0</v>
      </c>
      <c r="E26" s="53" t="n">
        <v>0</v>
      </c>
      <c r="F26" s="53" t="n">
        <v>0</v>
      </c>
      <c r="G26" s="53" t="inlineStr"/>
      <c r="H26" s="53" t="inlineStr"/>
      <c r="I26" s="53" t="inlineStr"/>
      <c r="J26" s="53" t="inlineStr"/>
      <c r="K26" s="53" t="inlineStr"/>
      <c r="L26" s="53" t="inlineStr">
        <is>
          <t>HSA428</t>
        </is>
      </c>
      <c r="M26" s="53" t="inlineStr"/>
      <c r="N26" s="53" t="inlineStr"/>
      <c r="O26" s="53" t="inlineStr"/>
    </row>
    <row r="27">
      <c r="A27" s="53" t="n">
        <v>8810001359</v>
      </c>
      <c r="B27" s="53" t="inlineStr">
        <is>
          <t>HSA-523</t>
        </is>
      </c>
      <c r="C27" s="53" t="n">
        <v>0</v>
      </c>
      <c r="D27" s="53" t="n">
        <v>0</v>
      </c>
      <c r="E27" s="53" t="n">
        <v>0</v>
      </c>
      <c r="F27" s="53" t="n">
        <v>0</v>
      </c>
      <c r="G27" s="53" t="inlineStr"/>
      <c r="H27" s="53" t="inlineStr"/>
      <c r="I27" s="53" t="inlineStr"/>
      <c r="J27" s="53" t="inlineStr"/>
      <c r="K27" s="53" t="inlineStr"/>
      <c r="L27" s="53" t="inlineStr">
        <is>
          <t>HSA-523</t>
        </is>
      </c>
      <c r="M27" s="53" t="inlineStr"/>
      <c r="N27" s="53" t="inlineStr"/>
      <c r="O27" s="53" t="inlineStr"/>
    </row>
    <row r="28">
      <c r="A28" s="53" t="n">
        <v>8810001355</v>
      </c>
      <c r="B28" s="53" t="inlineStr">
        <is>
          <t>HSA-527</t>
        </is>
      </c>
      <c r="C28" s="53" t="n">
        <v>1</v>
      </c>
      <c r="D28" s="53" t="n">
        <v>0</v>
      </c>
      <c r="E28" s="53" t="n">
        <v>0</v>
      </c>
      <c r="F28" s="53" t="n">
        <v>0</v>
      </c>
      <c r="G28" s="53" t="inlineStr"/>
      <c r="H28" s="53" t="n">
        <v>1</v>
      </c>
      <c r="I28" s="53" t="inlineStr"/>
      <c r="J28" s="53" t="inlineStr"/>
      <c r="K28" s="53" t="inlineStr"/>
      <c r="L28" s="53" t="inlineStr">
        <is>
          <t>HSA-527</t>
        </is>
      </c>
      <c r="M28" s="53" t="inlineStr"/>
      <c r="N28" s="53" t="inlineStr"/>
      <c r="O28" s="53" t="inlineStr"/>
    </row>
    <row r="29">
      <c r="A29" s="53" t="n">
        <v>8810001248</v>
      </c>
      <c r="B29" s="53" t="inlineStr">
        <is>
          <t>HSA-528</t>
        </is>
      </c>
      <c r="C29" s="53" t="n">
        <v>0</v>
      </c>
      <c r="D29" s="53" t="n">
        <v>0</v>
      </c>
      <c r="E29" s="53" t="n">
        <v>0</v>
      </c>
      <c r="F29" s="53" t="n">
        <v>0</v>
      </c>
      <c r="G29" s="53" t="inlineStr"/>
      <c r="H29" s="53" t="n">
        <v>0</v>
      </c>
      <c r="I29" s="53" t="inlineStr"/>
      <c r="J29" s="53" t="inlineStr"/>
      <c r="K29" s="53" t="inlineStr"/>
      <c r="L29" s="53" t="inlineStr">
        <is>
          <t>HSA-528</t>
        </is>
      </c>
      <c r="M29" s="53" t="inlineStr">
        <is>
          <t>12/10 庫存已扣</t>
        </is>
      </c>
      <c r="N29" s="53" t="n">
        <v>1</v>
      </c>
      <c r="O29" s="53" t="inlineStr"/>
    </row>
    <row r="30">
      <c r="A30" s="53" t="n">
        <v>8810001265</v>
      </c>
      <c r="B30" s="53" t="inlineStr">
        <is>
          <t>HSA-536</t>
        </is>
      </c>
      <c r="C30" s="53" t="n">
        <v>0</v>
      </c>
      <c r="D30" s="53" t="n">
        <v>0</v>
      </c>
      <c r="E30" s="53" t="n">
        <v>0</v>
      </c>
      <c r="F30" s="53" t="n">
        <v>0</v>
      </c>
      <c r="G30" s="53" t="inlineStr"/>
      <c r="H30" s="53" t="inlineStr"/>
      <c r="I30" s="53" t="inlineStr"/>
      <c r="J30" s="53" t="inlineStr"/>
      <c r="K30" s="53" t="inlineStr"/>
      <c r="L30" s="53" t="inlineStr">
        <is>
          <t>HSA536</t>
        </is>
      </c>
      <c r="M30" s="53" t="inlineStr">
        <is>
          <t>3/29興隆興入1台</t>
        </is>
      </c>
      <c r="N30" s="53" t="inlineStr"/>
      <c r="O30" s="53" t="inlineStr"/>
    </row>
    <row r="31">
      <c r="A31" s="53" t="n">
        <v>8810001409</v>
      </c>
      <c r="B31" s="53" t="inlineStr">
        <is>
          <t>HSA-623主底座</t>
        </is>
      </c>
      <c r="C31" s="53" t="n">
        <v>0</v>
      </c>
      <c r="D31" s="53" t="n">
        <v>0</v>
      </c>
      <c r="E31" s="53" t="n">
        <v>0</v>
      </c>
      <c r="F31" s="53" t="n">
        <v>0</v>
      </c>
      <c r="G31" s="53" t="inlineStr"/>
      <c r="H31" s="53" t="inlineStr"/>
      <c r="I31" s="53" t="inlineStr"/>
      <c r="J31" s="53" t="inlineStr"/>
      <c r="K31" s="53" t="inlineStr"/>
      <c r="L31" s="53" t="inlineStr"/>
      <c r="M31" s="53" t="inlineStr"/>
      <c r="N31" s="53" t="inlineStr"/>
      <c r="O31" s="53" t="inlineStr"/>
    </row>
    <row r="32">
      <c r="A32" s="53" t="n">
        <v>8810001336</v>
      </c>
      <c r="B32" s="53" t="inlineStr">
        <is>
          <t>HSA-623副底座</t>
        </is>
      </c>
      <c r="C32" s="53" t="n">
        <v>0</v>
      </c>
      <c r="D32" s="53" t="n">
        <v>0</v>
      </c>
      <c r="E32" s="53" t="n">
        <v>0</v>
      </c>
      <c r="F32" s="53" t="n">
        <v>0</v>
      </c>
      <c r="G32" s="53" t="inlineStr"/>
      <c r="H32" s="53" t="inlineStr"/>
      <c r="I32" s="53" t="inlineStr"/>
      <c r="J32" s="53" t="inlineStr"/>
      <c r="K32" s="53" t="inlineStr"/>
      <c r="L32" s="53" t="inlineStr"/>
      <c r="M32" s="53" t="inlineStr"/>
      <c r="N32" s="53" t="inlineStr"/>
      <c r="O32" s="53" t="inlineStr"/>
    </row>
    <row r="33">
      <c r="A33" s="53" t="n">
        <v>8810001334</v>
      </c>
      <c r="B33" s="53" t="inlineStr">
        <is>
          <t>HSA-627主底座</t>
        </is>
      </c>
      <c r="C33" s="53" t="n">
        <v>0</v>
      </c>
      <c r="D33" s="53" t="n">
        <v>0</v>
      </c>
      <c r="E33" s="53" t="n">
        <v>0</v>
      </c>
      <c r="F33" s="53" t="n">
        <v>0</v>
      </c>
      <c r="G33" s="53" t="inlineStr"/>
      <c r="H33" s="53" t="inlineStr"/>
      <c r="I33" s="53" t="inlineStr"/>
      <c r="J33" s="53" t="inlineStr"/>
      <c r="K33" s="53" t="inlineStr"/>
      <c r="L33" s="53" t="inlineStr"/>
      <c r="M33" s="53" t="inlineStr"/>
      <c r="N33" s="53" t="inlineStr"/>
      <c r="O33" s="53" t="inlineStr"/>
    </row>
    <row r="34">
      <c r="A34" s="53" t="n">
        <v>8810001336</v>
      </c>
      <c r="B34" s="53" t="inlineStr">
        <is>
          <t>HSA-627副底座</t>
        </is>
      </c>
      <c r="C34" s="53" t="n">
        <v>0</v>
      </c>
      <c r="D34" s="53" t="n">
        <v>0</v>
      </c>
      <c r="E34" s="53" t="n">
        <v>0</v>
      </c>
      <c r="F34" s="53" t="n">
        <v>0</v>
      </c>
      <c r="G34" s="53" t="inlineStr"/>
      <c r="H34" s="53" t="inlineStr"/>
      <c r="I34" s="53" t="inlineStr"/>
      <c r="J34" s="53" t="inlineStr"/>
      <c r="K34" s="53" t="inlineStr"/>
      <c r="L34" s="53" t="inlineStr"/>
      <c r="M34" s="53" t="inlineStr"/>
      <c r="N34" s="53" t="inlineStr"/>
      <c r="O34" s="53" t="inlineStr"/>
    </row>
    <row r="35">
      <c r="A35" s="53" t="n">
        <v>8810001352</v>
      </c>
      <c r="B35" s="53" t="inlineStr">
        <is>
          <t>HSA-628主底座</t>
        </is>
      </c>
      <c r="C35" s="53" t="n">
        <v>0</v>
      </c>
      <c r="D35" s="53" t="n">
        <v>0</v>
      </c>
      <c r="E35" s="53" t="n">
        <v>0</v>
      </c>
      <c r="F35" s="53" t="n">
        <v>0</v>
      </c>
      <c r="G35" s="53" t="inlineStr"/>
      <c r="H35" s="53" t="inlineStr"/>
      <c r="I35" s="53" t="inlineStr"/>
      <c r="J35" s="53" t="inlineStr"/>
      <c r="K35" s="53" t="inlineStr"/>
      <c r="L35" s="53" t="inlineStr"/>
      <c r="M35" s="53" t="inlineStr">
        <is>
          <t>M3:45.5HR</t>
        </is>
      </c>
      <c r="N35" s="53" t="inlineStr"/>
      <c r="O35" s="53" t="inlineStr"/>
    </row>
    <row r="36">
      <c r="A36" s="53" t="n">
        <v>8810001353</v>
      </c>
      <c r="B36" s="53" t="inlineStr">
        <is>
          <t>HSA-628副底座</t>
        </is>
      </c>
      <c r="C36" s="53" t="n">
        <v>0</v>
      </c>
      <c r="D36" s="53" t="n">
        <v>0</v>
      </c>
      <c r="E36" s="53" t="n">
        <v>0</v>
      </c>
      <c r="F36" s="53" t="n">
        <v>0</v>
      </c>
      <c r="G36" s="53" t="inlineStr"/>
      <c r="H36" s="53" t="inlineStr"/>
      <c r="I36" s="53" t="inlineStr"/>
      <c r="J36" s="53" t="inlineStr"/>
      <c r="K36" s="53" t="inlineStr"/>
      <c r="L36" s="53" t="inlineStr"/>
      <c r="M36" s="53" t="inlineStr">
        <is>
          <t>M3:19HR</t>
        </is>
      </c>
      <c r="N36" s="53" t="inlineStr"/>
      <c r="O36" s="53" t="inlineStr"/>
    </row>
    <row r="37">
      <c r="A37" s="53" t="n">
        <v>8810001367</v>
      </c>
      <c r="B37" s="53" t="inlineStr">
        <is>
          <t>HSA-636主底座</t>
        </is>
      </c>
      <c r="C37" s="53" t="n">
        <v>0</v>
      </c>
      <c r="D37" s="53" t="n">
        <v>0</v>
      </c>
      <c r="E37" s="53" t="n">
        <v>0</v>
      </c>
      <c r="F37" s="53" t="inlineStr"/>
      <c r="G37" s="53" t="inlineStr"/>
      <c r="H37" s="53" t="inlineStr"/>
      <c r="I37" s="53" t="inlineStr"/>
      <c r="J37" s="53" t="inlineStr"/>
      <c r="K37" s="53" t="inlineStr"/>
      <c r="L37" s="53" t="inlineStr"/>
      <c r="M37" s="53" t="inlineStr"/>
      <c r="N37" s="53" t="inlineStr"/>
      <c r="O37" s="53" t="inlineStr"/>
    </row>
    <row r="38">
      <c r="A38" s="53" t="n">
        <v>8810001366</v>
      </c>
      <c r="B38" s="53" t="inlineStr">
        <is>
          <t>HSA-636副底座</t>
        </is>
      </c>
      <c r="C38" s="53" t="n">
        <v>0</v>
      </c>
      <c r="D38" s="53" t="n">
        <v>0</v>
      </c>
      <c r="E38" s="53" t="n">
        <v>0</v>
      </c>
      <c r="F38" s="53" t="inlineStr"/>
      <c r="G38" s="53" t="inlineStr"/>
      <c r="H38" s="53" t="inlineStr"/>
      <c r="I38" s="53" t="inlineStr"/>
      <c r="J38" s="53" t="inlineStr"/>
      <c r="K38" s="53" t="inlineStr"/>
      <c r="L38" s="53" t="inlineStr"/>
      <c r="M38" s="53" t="inlineStr"/>
      <c r="N38" s="53" t="inlineStr"/>
      <c r="O38" s="53" t="inlineStr"/>
    </row>
    <row r="39">
      <c r="A39" s="53" t="n">
        <v>8810001400</v>
      </c>
      <c r="B39" s="53" t="inlineStr">
        <is>
          <t>HSA-728主底座</t>
        </is>
      </c>
      <c r="C39" s="53" t="n">
        <v>0</v>
      </c>
      <c r="D39" s="53" t="n">
        <v>0</v>
      </c>
      <c r="E39" s="53" t="n">
        <v>0</v>
      </c>
      <c r="F39" s="53" t="inlineStr"/>
      <c r="G39" s="53" t="inlineStr"/>
      <c r="H39" s="53" t="inlineStr"/>
      <c r="I39" s="53" t="inlineStr"/>
      <c r="J39" s="53" t="inlineStr"/>
      <c r="K39" s="53" t="inlineStr"/>
      <c r="L39" s="53" t="inlineStr"/>
      <c r="M39" s="53" t="inlineStr"/>
      <c r="N39" s="53" t="inlineStr"/>
      <c r="O39" s="53" t="inlineStr"/>
    </row>
    <row r="40">
      <c r="A40" s="53" t="n">
        <v>8810001401</v>
      </c>
      <c r="B40" s="53" t="inlineStr">
        <is>
          <t>HSA-728副底座</t>
        </is>
      </c>
      <c r="C40" s="53" t="n">
        <v>0</v>
      </c>
      <c r="D40" s="53" t="n">
        <v>0</v>
      </c>
      <c r="E40" s="53" t="n">
        <v>0</v>
      </c>
      <c r="F40" s="53" t="inlineStr"/>
      <c r="G40" s="53" t="inlineStr"/>
      <c r="H40" s="53" t="inlineStr"/>
      <c r="I40" s="53" t="inlineStr"/>
      <c r="J40" s="53" t="inlineStr"/>
      <c r="K40" s="53" t="inlineStr"/>
      <c r="L40" s="53" t="inlineStr"/>
      <c r="M40" s="53" t="inlineStr"/>
      <c r="N40" s="53" t="inlineStr"/>
      <c r="O40" s="53" t="inlineStr"/>
    </row>
    <row r="41">
      <c r="A41" s="53" t="n">
        <v>8810001369</v>
      </c>
      <c r="B41" s="53" t="inlineStr">
        <is>
          <t>HSA-736主底座</t>
        </is>
      </c>
      <c r="C41" s="53" t="n">
        <v>0</v>
      </c>
      <c r="D41" s="53" t="n">
        <v>0</v>
      </c>
      <c r="E41" s="53" t="n">
        <v>0</v>
      </c>
      <c r="F41" s="53" t="inlineStr"/>
      <c r="G41" s="53" t="inlineStr"/>
      <c r="H41" s="53" t="inlineStr"/>
      <c r="I41" s="53" t="inlineStr"/>
      <c r="J41" s="53" t="inlineStr"/>
      <c r="K41" s="53" t="inlineStr"/>
      <c r="L41" s="53" t="inlineStr"/>
      <c r="M41" s="53" t="inlineStr"/>
      <c r="N41" s="53" t="inlineStr"/>
      <c r="O41" s="53" t="inlineStr"/>
    </row>
    <row r="42">
      <c r="A42" s="53" t="n">
        <v>8810001373</v>
      </c>
      <c r="B42" s="53" t="inlineStr">
        <is>
          <t>HSA-736副底座</t>
        </is>
      </c>
      <c r="C42" s="53" t="n">
        <v>0</v>
      </c>
      <c r="D42" s="53" t="n">
        <v>0</v>
      </c>
      <c r="E42" s="53" t="n">
        <v>0</v>
      </c>
      <c r="F42" s="53" t="inlineStr"/>
      <c r="G42" s="53" t="inlineStr"/>
      <c r="H42" s="53" t="inlineStr"/>
      <c r="I42" s="53" t="inlineStr"/>
      <c r="J42" s="53" t="inlineStr"/>
      <c r="K42" s="53" t="inlineStr"/>
      <c r="L42" s="53" t="inlineStr"/>
      <c r="M42" s="53" t="inlineStr"/>
      <c r="N42" s="53" t="inlineStr"/>
      <c r="O42" s="53" t="inlineStr"/>
    </row>
    <row r="43">
      <c r="A43" s="53" t="n">
        <v>8810001067</v>
      </c>
      <c r="B43" s="53" t="inlineStr">
        <is>
          <t>PBM135-X軸(3米)</t>
        </is>
      </c>
      <c r="C43" s="53" t="n">
        <v>0</v>
      </c>
      <c r="D43" s="53" t="n">
        <v>0</v>
      </c>
      <c r="E43" s="53" t="n">
        <v>0</v>
      </c>
      <c r="F43" s="53" t="n">
        <v>0</v>
      </c>
      <c r="G43" s="53" t="n">
        <v>0</v>
      </c>
      <c r="H43" s="53" t="inlineStr"/>
      <c r="I43" s="53" t="inlineStr"/>
      <c r="J43" s="53" t="inlineStr"/>
      <c r="K43" s="53" t="inlineStr"/>
      <c r="L43" s="53" t="inlineStr"/>
      <c r="M43" s="53" t="inlineStr"/>
      <c r="N43" s="53" t="inlineStr"/>
      <c r="O43" s="53" t="inlineStr"/>
    </row>
    <row r="44">
      <c r="A44" s="53" t="n">
        <v>8810001224</v>
      </c>
      <c r="B44" s="53" t="inlineStr">
        <is>
          <t>PBM135-X軸(4米)</t>
        </is>
      </c>
      <c r="C44" s="53" t="n">
        <v>1</v>
      </c>
      <c r="D44" s="53" t="n">
        <v>0</v>
      </c>
      <c r="E44" s="53" t="n">
        <v>0</v>
      </c>
      <c r="F44" s="53" t="n">
        <v>0</v>
      </c>
      <c r="G44" s="53" t="n">
        <v>0</v>
      </c>
      <c r="H44" s="53" t="n">
        <v>1</v>
      </c>
      <c r="I44" s="53" t="inlineStr"/>
      <c r="J44" s="53" t="inlineStr"/>
      <c r="K44" s="53" t="inlineStr"/>
      <c r="L44" s="53" t="inlineStr"/>
      <c r="M44" s="53" t="inlineStr"/>
      <c r="N44" s="53" t="inlineStr"/>
      <c r="O44" s="53" t="inlineStr"/>
    </row>
    <row r="45">
      <c r="A45" s="53" t="n">
        <v>8810001365</v>
      </c>
      <c r="B45" s="53" t="inlineStr">
        <is>
          <t>PBM135-Z軸底座</t>
        </is>
      </c>
      <c r="C45" s="53" t="n">
        <v>0</v>
      </c>
      <c r="D45" s="53" t="n">
        <v>0</v>
      </c>
      <c r="E45" s="53" t="n">
        <v>0</v>
      </c>
      <c r="F45" s="53" t="n">
        <v>0</v>
      </c>
      <c r="G45" s="53" t="inlineStr"/>
      <c r="H45" s="53" t="inlineStr"/>
      <c r="I45" s="53" t="inlineStr"/>
      <c r="J45" s="53" t="inlineStr"/>
      <c r="K45" s="53" t="n">
        <v>0</v>
      </c>
      <c r="L45" s="53" t="inlineStr"/>
      <c r="M45" s="53" t="inlineStr"/>
      <c r="N45" s="53" t="inlineStr"/>
      <c r="O45" s="53" t="inlineStr"/>
    </row>
    <row r="46">
      <c r="A46" s="53" t="n">
        <v>8810001203</v>
      </c>
      <c r="B46" s="53" t="inlineStr">
        <is>
          <t>PBM115A-X軸底座</t>
        </is>
      </c>
      <c r="C46" s="53" t="n">
        <v>1</v>
      </c>
      <c r="D46" s="53" t="n">
        <v>0</v>
      </c>
      <c r="E46" s="53" t="n">
        <v>0</v>
      </c>
      <c r="F46" s="53" t="n">
        <v>0</v>
      </c>
      <c r="G46" s="53" t="inlineStr"/>
      <c r="H46" s="53" t="n">
        <v>1</v>
      </c>
      <c r="I46" s="53" t="inlineStr"/>
      <c r="J46" s="53" t="n">
        <v>0</v>
      </c>
      <c r="K46" s="53" t="n">
        <v>0</v>
      </c>
      <c r="L46" s="53" t="inlineStr"/>
      <c r="M46" s="53" t="inlineStr"/>
      <c r="N46" s="53" t="inlineStr"/>
      <c r="O46" s="53" t="inlineStr"/>
    </row>
    <row r="47">
      <c r="A47" s="53" t="n">
        <v>8810001204</v>
      </c>
      <c r="B47" s="53" t="inlineStr">
        <is>
          <t>PBM115A-Z軸底座</t>
        </is>
      </c>
      <c r="C47" s="53" t="n">
        <v>1</v>
      </c>
      <c r="D47" s="53" t="n">
        <v>0</v>
      </c>
      <c r="E47" s="53" t="n">
        <v>0</v>
      </c>
      <c r="F47" s="53" t="n">
        <v>0</v>
      </c>
      <c r="G47" s="53" t="inlineStr"/>
      <c r="H47" s="53" t="n">
        <v>1</v>
      </c>
      <c r="I47" s="53" t="inlineStr"/>
      <c r="J47" s="53" t="inlineStr"/>
      <c r="K47" s="53" t="n">
        <v>0</v>
      </c>
      <c r="L47" s="53" t="inlineStr"/>
      <c r="M47" s="53" t="inlineStr"/>
      <c r="N47" s="53" t="inlineStr"/>
      <c r="O47" s="53" t="inlineStr"/>
    </row>
    <row r="48">
      <c r="A48" s="53" t="n">
        <v>8810001394</v>
      </c>
      <c r="B48" s="53" t="inlineStr">
        <is>
          <t>SW-220</t>
        </is>
      </c>
      <c r="C48" s="53" t="n">
        <v>0</v>
      </c>
      <c r="D48" s="53" t="n">
        <v>0</v>
      </c>
      <c r="E48" s="53" t="n">
        <v>0</v>
      </c>
      <c r="F48" s="53" t="n">
        <v>0</v>
      </c>
      <c r="G48" s="53" t="inlineStr"/>
      <c r="H48" s="53" t="inlineStr"/>
      <c r="I48" s="53" t="inlineStr"/>
      <c r="J48" s="53" t="inlineStr"/>
      <c r="K48" s="53" t="inlineStr"/>
      <c r="L48" s="53" t="inlineStr"/>
      <c r="M48" s="53" t="inlineStr"/>
      <c r="N48" s="53" t="inlineStr"/>
      <c r="O48" s="53" t="inlineStr"/>
    </row>
    <row r="49">
      <c r="A49" s="53" t="n">
        <v>8810001378</v>
      </c>
      <c r="B49" s="53" t="inlineStr">
        <is>
          <t>SW-216</t>
        </is>
      </c>
      <c r="C49" s="53" t="n">
        <v>0</v>
      </c>
      <c r="D49" s="53" t="n">
        <v>0</v>
      </c>
      <c r="E49" s="53" t="n">
        <v>1</v>
      </c>
      <c r="F49" s="53" t="n">
        <v>0</v>
      </c>
      <c r="G49" s="53" t="inlineStr"/>
      <c r="H49" s="53" t="n">
        <v>1</v>
      </c>
      <c r="I49" s="53" t="inlineStr"/>
      <c r="J49" s="53" t="n">
        <v>0</v>
      </c>
      <c r="K49" s="53" t="inlineStr"/>
      <c r="L49" s="53" t="inlineStr"/>
      <c r="M49" s="53" t="inlineStr"/>
      <c r="N49" s="53" t="inlineStr"/>
      <c r="O49" s="53" t="inlineStr"/>
    </row>
    <row r="50">
      <c r="A50" s="53" t="n">
        <v>8810001386</v>
      </c>
      <c r="B50" s="53" t="inlineStr">
        <is>
          <t>SW-316</t>
        </is>
      </c>
      <c r="C50" s="53" t="n">
        <v>2</v>
      </c>
      <c r="D50" s="53" t="n">
        <v>0</v>
      </c>
      <c r="E50" s="53" t="n">
        <v>0</v>
      </c>
      <c r="F50" s="53" t="n">
        <v>0</v>
      </c>
      <c r="G50" s="53" t="inlineStr"/>
      <c r="H50" s="53" t="inlineStr"/>
      <c r="I50" s="53" t="inlineStr"/>
      <c r="J50" s="53" t="n">
        <v>1</v>
      </c>
      <c r="K50" s="53" t="n">
        <v>1</v>
      </c>
      <c r="L50" s="53" t="inlineStr"/>
      <c r="M50" s="53" t="inlineStr"/>
      <c r="N50" s="53" t="inlineStr"/>
      <c r="O50" s="53" t="inlineStr"/>
    </row>
    <row r="51">
      <c r="A51" s="53" t="n">
        <v>8810001396</v>
      </c>
      <c r="B51" s="53" t="inlineStr">
        <is>
          <t>SW-320</t>
        </is>
      </c>
      <c r="C51" s="53" t="n">
        <v>0</v>
      </c>
      <c r="D51" s="53" t="n">
        <v>0</v>
      </c>
      <c r="E51" s="53" t="n">
        <v>1</v>
      </c>
      <c r="F51" s="53" t="n">
        <v>0</v>
      </c>
      <c r="G51" s="53" t="inlineStr"/>
      <c r="H51" s="53" t="inlineStr"/>
      <c r="I51" s="53" t="inlineStr"/>
      <c r="J51" s="53" t="inlineStr"/>
      <c r="K51" s="53" t="inlineStr"/>
      <c r="L51" s="53" t="inlineStr"/>
      <c r="M51" s="53" t="inlineStr"/>
      <c r="N51" s="53" t="inlineStr"/>
      <c r="O51" s="53" t="inlineStr"/>
    </row>
    <row r="52">
      <c r="A52" s="53" t="n">
        <v>8810001302</v>
      </c>
      <c r="B52" s="53" t="inlineStr">
        <is>
          <t>SW-323</t>
        </is>
      </c>
      <c r="C52" s="53" t="n">
        <v>1</v>
      </c>
      <c r="D52" s="53" t="n">
        <v>0</v>
      </c>
      <c r="E52" s="53" t="n">
        <v>0</v>
      </c>
      <c r="F52" s="53" t="n">
        <v>0</v>
      </c>
      <c r="G52" s="53" t="inlineStr"/>
      <c r="H52" s="53" t="inlineStr"/>
      <c r="I52" s="53" t="inlineStr"/>
      <c r="J52" s="53" t="n">
        <v>0</v>
      </c>
      <c r="K52" s="53" t="inlineStr"/>
      <c r="L52" s="53" t="inlineStr"/>
      <c r="M52" s="53" t="inlineStr"/>
      <c r="N52" s="53" t="inlineStr"/>
      <c r="O52" s="53" t="inlineStr"/>
    </row>
    <row r="53">
      <c r="A53" s="53" t="n">
        <v>8810001297</v>
      </c>
      <c r="B53" s="53" t="inlineStr">
        <is>
          <t>SW-326</t>
        </is>
      </c>
      <c r="C53" s="53" t="n">
        <v>0</v>
      </c>
      <c r="D53" s="53" t="n">
        <v>0</v>
      </c>
      <c r="E53" s="53" t="n">
        <v>0</v>
      </c>
      <c r="F53" s="53" t="n">
        <v>0</v>
      </c>
      <c r="G53" s="53" t="inlineStr"/>
      <c r="H53" s="53" t="inlineStr"/>
      <c r="I53" s="53" t="inlineStr"/>
      <c r="J53" s="53" t="inlineStr"/>
      <c r="K53" s="53" t="n">
        <v>0</v>
      </c>
      <c r="L53" s="53" t="inlineStr"/>
      <c r="M53" s="53" t="inlineStr"/>
      <c r="N53" s="53" t="inlineStr"/>
      <c r="O53" s="53" t="inlineStr"/>
    </row>
    <row r="54">
      <c r="A54" s="53" t="n">
        <v>8810001398</v>
      </c>
      <c r="B54" s="53" t="inlineStr">
        <is>
          <t>SW-420</t>
        </is>
      </c>
      <c r="C54" s="53" t="n">
        <v>0</v>
      </c>
      <c r="D54" s="53" t="n">
        <v>0</v>
      </c>
      <c r="E54" s="53" t="n">
        <v>0</v>
      </c>
      <c r="F54" s="53" t="n">
        <v>0</v>
      </c>
      <c r="G54" s="53" t="inlineStr"/>
      <c r="H54" s="53" t="inlineStr"/>
      <c r="I54" s="53" t="inlineStr"/>
      <c r="J54" s="53" t="inlineStr"/>
      <c r="K54" s="53" t="inlineStr"/>
      <c r="L54" s="53" t="inlineStr"/>
      <c r="M54" s="53" t="inlineStr"/>
      <c r="N54" s="53" t="inlineStr"/>
      <c r="O54" s="53" t="inlineStr"/>
    </row>
    <row r="55">
      <c r="A55" s="53" t="n">
        <v>8810001270</v>
      </c>
      <c r="B55" s="53" t="inlineStr">
        <is>
          <t>SW-423</t>
        </is>
      </c>
      <c r="C55" s="53" t="n">
        <v>1</v>
      </c>
      <c r="D55" s="53" t="n">
        <v>0</v>
      </c>
      <c r="E55" s="53" t="n">
        <v>1</v>
      </c>
      <c r="F55" s="53" t="n">
        <v>0</v>
      </c>
      <c r="G55" s="53" t="inlineStr"/>
      <c r="H55" s="53" t="n">
        <v>2</v>
      </c>
      <c r="I55" s="53" t="inlineStr"/>
      <c r="J55" s="53" t="inlineStr"/>
      <c r="K55" s="53" t="inlineStr"/>
      <c r="L55" s="53" t="inlineStr"/>
      <c r="M55" s="53" t="inlineStr">
        <is>
          <t>M4:5.5HR M3:41HR M7:7HR</t>
        </is>
      </c>
      <c r="N55" s="53" t="n">
        <v>3</v>
      </c>
      <c r="O55" s="53" t="inlineStr">
        <is>
          <t>轉研</t>
        </is>
      </c>
    </row>
    <row r="56">
      <c r="A56" s="53" t="n">
        <v>8810001388</v>
      </c>
      <c r="B56" s="53" t="inlineStr">
        <is>
          <t>SW-416</t>
        </is>
      </c>
      <c r="C56" s="53" t="n">
        <v>0</v>
      </c>
      <c r="D56" s="53" t="n">
        <v>0</v>
      </c>
      <c r="E56" s="53" t="n">
        <v>0</v>
      </c>
      <c r="F56" s="53" t="n">
        <v>0</v>
      </c>
      <c r="G56" s="53" t="inlineStr"/>
      <c r="H56" s="53" t="inlineStr"/>
      <c r="I56" s="53" t="inlineStr"/>
      <c r="J56" s="53" t="inlineStr"/>
      <c r="K56" s="53" t="inlineStr"/>
      <c r="L56" s="53" t="inlineStr"/>
      <c r="M56" s="53" t="inlineStr"/>
      <c r="N56" s="53" t="inlineStr"/>
      <c r="O56" s="53" t="inlineStr"/>
    </row>
    <row r="57">
      <c r="A57" s="53" t="n">
        <v>8810001244</v>
      </c>
      <c r="B57" s="53" t="inlineStr">
        <is>
          <t>SW-426</t>
        </is>
      </c>
      <c r="C57" s="53" t="n">
        <v>0</v>
      </c>
      <c r="D57" s="53" t="n">
        <v>0</v>
      </c>
      <c r="E57" s="53" t="n">
        <v>1</v>
      </c>
      <c r="F57" s="53" t="n">
        <v>0</v>
      </c>
      <c r="G57" s="53" t="inlineStr"/>
      <c r="H57" s="53" t="inlineStr"/>
      <c r="I57" s="53" t="inlineStr"/>
      <c r="J57" s="53" t="inlineStr"/>
      <c r="K57" s="53" t="inlineStr"/>
      <c r="L57" s="53" t="inlineStr"/>
      <c r="M57" s="53" t="inlineStr"/>
      <c r="N57" s="53" t="inlineStr"/>
      <c r="O57" s="53" t="inlineStr"/>
    </row>
    <row r="58">
      <c r="A58" s="53" t="n">
        <v>8810001304</v>
      </c>
      <c r="B58" s="53" t="inlineStr">
        <is>
          <t>SW-523</t>
        </is>
      </c>
      <c r="C58" s="53" t="n">
        <v>0</v>
      </c>
      <c r="D58" s="53" t="n">
        <v>0</v>
      </c>
      <c r="E58" s="53" t="n">
        <v>0</v>
      </c>
      <c r="F58" s="53" t="n">
        <v>0</v>
      </c>
      <c r="G58" s="53" t="inlineStr"/>
      <c r="H58" s="53" t="inlineStr"/>
      <c r="I58" s="53" t="inlineStr"/>
      <c r="J58" s="53" t="inlineStr"/>
      <c r="K58" s="53" t="inlineStr"/>
      <c r="L58" s="53" t="inlineStr"/>
      <c r="M58" s="53" t="inlineStr"/>
      <c r="N58" s="53" t="inlineStr"/>
      <c r="O58" s="53" t="inlineStr"/>
    </row>
    <row r="59">
      <c r="A59" s="53" t="n">
        <v>8810001274</v>
      </c>
      <c r="B59" s="53" t="inlineStr">
        <is>
          <t>SW-526</t>
        </is>
      </c>
      <c r="C59" s="53" t="n">
        <v>0</v>
      </c>
      <c r="D59" s="53" t="n">
        <v>0</v>
      </c>
      <c r="E59" s="53" t="n">
        <v>0</v>
      </c>
      <c r="F59" s="53" t="n">
        <v>0</v>
      </c>
      <c r="G59" s="53" t="inlineStr"/>
      <c r="H59" s="53" t="inlineStr"/>
      <c r="I59" s="53" t="inlineStr"/>
      <c r="J59" s="53" t="inlineStr"/>
      <c r="K59" s="53" t="inlineStr"/>
      <c r="L59" s="53" t="inlineStr"/>
      <c r="M59" s="53" t="inlineStr"/>
      <c r="N59" s="53" t="inlineStr"/>
      <c r="O59" s="53" t="inlineStr"/>
    </row>
    <row r="60">
      <c r="A60" s="53" t="n">
        <v>8810000938</v>
      </c>
      <c r="B60" s="53" t="inlineStr">
        <is>
          <t>LG-500</t>
        </is>
      </c>
      <c r="C60" s="53" t="n">
        <v>0</v>
      </c>
      <c r="D60" s="53" t="n">
        <v>0</v>
      </c>
      <c r="E60" s="53" t="n">
        <v>0</v>
      </c>
      <c r="F60" s="53" t="n">
        <v>0</v>
      </c>
      <c r="G60" s="53" t="inlineStr"/>
      <c r="H60" s="53" t="inlineStr"/>
      <c r="I60" s="53" t="inlineStr"/>
      <c r="J60" s="53" t="n">
        <v>0</v>
      </c>
      <c r="K60" s="53" t="inlineStr"/>
      <c r="L60" s="53" t="n">
        <v>34</v>
      </c>
      <c r="M60" s="53" t="inlineStr"/>
      <c r="N60" s="53" t="inlineStr"/>
      <c r="O60" s="53" t="inlineStr"/>
    </row>
    <row r="61">
      <c r="A61" s="53" t="n">
        <v>8810000964</v>
      </c>
      <c r="B61" s="53" t="inlineStr">
        <is>
          <t>LG-800</t>
        </is>
      </c>
      <c r="C61" s="53" t="n">
        <v>1</v>
      </c>
      <c r="D61" s="53" t="n">
        <v>0</v>
      </c>
      <c r="E61" s="53" t="n">
        <v>1</v>
      </c>
      <c r="F61" s="53" t="n">
        <v>1</v>
      </c>
      <c r="G61" s="53" t="inlineStr"/>
      <c r="H61" s="53" t="n">
        <v>3</v>
      </c>
      <c r="I61" s="53" t="inlineStr"/>
      <c r="J61" s="53" t="inlineStr"/>
      <c r="K61" s="53" t="inlineStr"/>
      <c r="L61" s="53" t="inlineStr"/>
      <c r="M61" s="53" t="inlineStr"/>
      <c r="N61" s="53" t="inlineStr"/>
      <c r="O61" s="53" t="inlineStr"/>
    </row>
    <row r="62">
      <c r="A62" s="53" t="n">
        <v>8810001242</v>
      </c>
      <c r="B62" s="53" t="inlineStr">
        <is>
          <t>LG-1370</t>
        </is>
      </c>
      <c r="C62" s="53" t="n">
        <v>0</v>
      </c>
      <c r="D62" s="53" t="n">
        <v>0</v>
      </c>
      <c r="E62" s="53" t="n">
        <v>0</v>
      </c>
      <c r="F62" s="53" t="n">
        <v>0</v>
      </c>
      <c r="G62" s="53" t="inlineStr"/>
      <c r="H62" s="53" t="inlineStr"/>
      <c r="I62" s="53" t="inlineStr"/>
      <c r="J62" s="53" t="inlineStr"/>
      <c r="K62" s="53" t="inlineStr"/>
      <c r="L62" s="53" t="inlineStr"/>
      <c r="M62" s="53" t="inlineStr"/>
      <c r="N62" s="53" t="inlineStr"/>
      <c r="O62" s="53" t="inlineStr"/>
    </row>
    <row r="63">
      <c r="A63" s="53" t="n">
        <v>8810000868</v>
      </c>
      <c r="B63" s="53" t="inlineStr">
        <is>
          <t>MVP-860</t>
        </is>
      </c>
      <c r="C63" s="53" t="n">
        <v>2</v>
      </c>
      <c r="D63" s="53" t="n">
        <v>0</v>
      </c>
      <c r="E63" s="53" t="n">
        <v>0</v>
      </c>
      <c r="F63" s="53" t="n">
        <v>0</v>
      </c>
      <c r="G63" s="53" t="inlineStr"/>
      <c r="H63" s="53" t="n">
        <v>2</v>
      </c>
      <c r="I63" s="53" t="inlineStr"/>
      <c r="J63" s="53" t="inlineStr"/>
      <c r="K63" s="53" t="inlineStr"/>
      <c r="L63" s="53" t="inlineStr"/>
      <c r="M63" s="53" t="inlineStr"/>
      <c r="N63" s="53" t="inlineStr"/>
      <c r="O63" s="53" t="inlineStr"/>
    </row>
    <row r="64">
      <c r="A64" s="53" t="n">
        <v>88100001344</v>
      </c>
      <c r="B64" s="53" t="inlineStr">
        <is>
          <t>MVP-11</t>
        </is>
      </c>
      <c r="C64" s="53" t="n">
        <v>0</v>
      </c>
      <c r="D64" s="53" t="n">
        <v>0</v>
      </c>
      <c r="E64" s="53" t="n">
        <v>0</v>
      </c>
      <c r="F64" s="53" t="n">
        <v>3</v>
      </c>
      <c r="G64" s="53" t="inlineStr"/>
      <c r="H64" s="53" t="inlineStr"/>
      <c r="I64" s="53" t="inlineStr"/>
      <c r="J64" s="53" t="inlineStr"/>
      <c r="K64" s="53" t="inlineStr"/>
      <c r="L64" s="53" t="inlineStr"/>
      <c r="M64" s="53" t="inlineStr"/>
      <c r="N64" s="53" t="inlineStr"/>
      <c r="O64" s="53" t="inlineStr"/>
    </row>
    <row r="65">
      <c r="A65" s="53" t="n">
        <v>88100001458</v>
      </c>
      <c r="B65" s="53" t="inlineStr">
        <is>
          <t>A10</t>
        </is>
      </c>
      <c r="C65" s="53" t="n">
        <v>0</v>
      </c>
      <c r="D65" s="53" t="n">
        <v>0</v>
      </c>
      <c r="E65" s="53" t="n">
        <v>0</v>
      </c>
      <c r="F65" s="53" t="n">
        <v>0</v>
      </c>
      <c r="G65" s="53" t="inlineStr"/>
      <c r="H65" s="53" t="inlineStr"/>
      <c r="I65" s="53" t="inlineStr"/>
      <c r="J65" s="53" t="inlineStr"/>
      <c r="K65" s="53" t="inlineStr"/>
      <c r="L65" s="53" t="inlineStr"/>
      <c r="M65" s="53" t="inlineStr"/>
      <c r="N65" s="53" t="inlineStr"/>
      <c r="O65" s="53" t="inlineStr"/>
    </row>
    <row r="66">
      <c r="A66" s="53" t="n">
        <v>88100001190</v>
      </c>
      <c r="B66" s="53" t="inlineStr">
        <is>
          <t>S-PLUS</t>
        </is>
      </c>
      <c r="C66" s="53" t="n">
        <v>0</v>
      </c>
      <c r="D66" s="53" t="n">
        <v>0</v>
      </c>
      <c r="E66" s="53" t="n">
        <v>0</v>
      </c>
      <c r="F66" s="53" t="n">
        <v>0</v>
      </c>
      <c r="G66" s="53" t="inlineStr"/>
      <c r="H66" s="53" t="inlineStr"/>
      <c r="I66" s="53" t="inlineStr"/>
      <c r="J66" s="53" t="inlineStr"/>
      <c r="K66" s="53" t="inlineStr"/>
      <c r="L66" s="53" t="inlineStr"/>
      <c r="M66" s="53" t="inlineStr"/>
      <c r="N66" s="53" t="inlineStr"/>
      <c r="O66" s="53" t="inlineStr"/>
    </row>
    <row r="67">
      <c r="A67" s="53" t="n">
        <v>88100001415</v>
      </c>
      <c r="B67" s="53" t="inlineStr">
        <is>
          <t>S8</t>
        </is>
      </c>
      <c r="C67" s="53" t="n">
        <v>0</v>
      </c>
      <c r="D67" s="53" t="n">
        <v>0</v>
      </c>
      <c r="E67" s="53" t="n">
        <v>0</v>
      </c>
      <c r="F67" s="53" t="n">
        <v>0</v>
      </c>
      <c r="G67" s="53" t="inlineStr"/>
      <c r="H67" s="53" t="inlineStr"/>
      <c r="I67" s="53" t="inlineStr"/>
      <c r="J67" s="53" t="inlineStr"/>
      <c r="K67" s="53" t="inlineStr"/>
      <c r="L67" s="53" t="inlineStr"/>
      <c r="M67" s="53" t="inlineStr"/>
      <c r="N67" s="53" t="inlineStr"/>
      <c r="O67" s="53" t="inlineStr"/>
    </row>
    <row r="68">
      <c r="A68" s="53" t="n">
        <v>88100001460</v>
      </c>
      <c r="B68" s="53" t="inlineStr">
        <is>
          <t>S10</t>
        </is>
      </c>
      <c r="C68" s="53" t="n">
        <v>0</v>
      </c>
      <c r="D68" s="53" t="n">
        <v>0</v>
      </c>
      <c r="E68" s="53" t="n">
        <v>0</v>
      </c>
      <c r="F68" s="53" t="n">
        <v>0</v>
      </c>
      <c r="G68" s="53" t="inlineStr"/>
      <c r="H68" s="53" t="inlineStr"/>
      <c r="I68" s="53" t="inlineStr"/>
      <c r="J68" s="53" t="inlineStr"/>
      <c r="K68" s="53" t="inlineStr"/>
      <c r="L68" s="53" t="inlineStr"/>
      <c r="M68" s="53" t="inlineStr"/>
      <c r="N68" s="53" t="inlineStr"/>
      <c r="O68" s="53" t="inlineStr"/>
    </row>
    <row r="69">
      <c r="A69" s="53" t="n">
        <v>8810001527</v>
      </c>
      <c r="B69" s="53" t="inlineStr">
        <is>
          <t>LG-1370-NEO</t>
        </is>
      </c>
      <c r="C69" s="53" t="n">
        <v>0</v>
      </c>
      <c r="D69" s="53" t="n">
        <v>0</v>
      </c>
      <c r="E69" s="53" t="n">
        <v>0</v>
      </c>
      <c r="F69" s="53" t="n">
        <v>1</v>
      </c>
      <c r="G69" s="53" t="inlineStr"/>
      <c r="H69" s="53" t="n">
        <v>1</v>
      </c>
      <c r="I69" s="53" t="inlineStr"/>
      <c r="J69" s="53" t="n">
        <v>0</v>
      </c>
      <c r="K69" s="53" t="inlineStr"/>
      <c r="L69" s="53" t="inlineStr"/>
      <c r="M69" s="53" t="inlineStr"/>
      <c r="N69" s="53" t="inlineStr"/>
      <c r="O69" s="53" t="inlineStr"/>
    </row>
    <row r="70">
      <c r="A70" s="53" t="n">
        <v>8810001530</v>
      </c>
      <c r="B70" s="53" t="inlineStr">
        <is>
          <t>LG-1000-NEO</t>
        </is>
      </c>
      <c r="C70" s="53" t="n">
        <v>0</v>
      </c>
      <c r="D70" s="53" t="n">
        <v>0</v>
      </c>
      <c r="E70" s="53" t="n">
        <v>0</v>
      </c>
      <c r="F70" s="53" t="n">
        <v>0</v>
      </c>
      <c r="G70" s="53" t="inlineStr"/>
      <c r="H70" s="53" t="inlineStr"/>
      <c r="I70" s="53" t="inlineStr"/>
      <c r="J70" s="53" t="n">
        <v>0</v>
      </c>
      <c r="K70" s="53" t="inlineStr"/>
      <c r="L70" s="53" t="inlineStr"/>
      <c r="M70" s="53" t="inlineStr">
        <is>
          <t>M4:4HR，M3:16HR</t>
        </is>
      </c>
      <c r="N70" s="53" t="inlineStr"/>
      <c r="O70" s="5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9"/>
  <sheetViews>
    <sheetView workbookViewId="0">
      <selection activeCell="A1" sqref="A1"/>
    </sheetView>
  </sheetViews>
  <sheetFormatPr baseColWidth="8" defaultRowHeight="15"/>
  <sheetData>
    <row r="1">
      <c r="A1" s="111" t="inlineStr">
        <is>
          <t>品號</t>
        </is>
      </c>
      <c r="B1" s="111" t="inlineStr">
        <is>
          <t>機型</t>
        </is>
      </c>
      <c r="C1" s="111" t="inlineStr">
        <is>
          <t>素材</t>
        </is>
      </c>
      <c r="D1" s="111" t="inlineStr">
        <is>
          <t>製程1</t>
        </is>
      </c>
      <c r="E1" s="111" t="inlineStr">
        <is>
          <t>製程2</t>
        </is>
      </c>
      <c r="F1" s="111" t="inlineStr">
        <is>
          <t>製程3</t>
        </is>
      </c>
      <c r="G1" s="111" t="inlineStr">
        <is>
          <t>製程4</t>
        </is>
      </c>
      <c r="H1" s="111" t="inlineStr">
        <is>
          <t>成品</t>
        </is>
      </c>
      <c r="I1" s="111" t="inlineStr">
        <is>
          <t>Unnamed: 8</t>
        </is>
      </c>
      <c r="J1" s="111" t="inlineStr">
        <is>
          <t>總數</t>
        </is>
      </c>
      <c r="K1" s="111" t="inlineStr">
        <is>
          <t>預扣件</t>
        </is>
      </c>
      <c r="L1" s="111" t="inlineStr">
        <is>
          <t>報廢品</t>
        </is>
      </c>
      <c r="M1" s="111" t="inlineStr">
        <is>
          <t>Unnamed: 12</t>
        </is>
      </c>
      <c r="N1" s="111" t="inlineStr">
        <is>
          <t>Unnamed: 13</t>
        </is>
      </c>
      <c r="O1" s="111" t="inlineStr">
        <is>
          <t>Unnamed: 14</t>
        </is>
      </c>
      <c r="P1" s="111" t="inlineStr">
        <is>
          <t>已開單</t>
        </is>
      </c>
      <c r="Q1" s="111" t="inlineStr">
        <is>
          <t>Unnamed: 16</t>
        </is>
      </c>
    </row>
    <row r="2">
      <c r="A2" s="53" t="n">
        <v>8813000949</v>
      </c>
      <c r="B2" s="53" t="inlineStr">
        <is>
          <t>HEP2150</t>
        </is>
      </c>
      <c r="C2" s="53" t="n">
        <v>2</v>
      </c>
      <c r="D2" s="53" t="n">
        <v>0</v>
      </c>
      <c r="E2" s="53" t="n">
        <v>0</v>
      </c>
      <c r="F2" s="53" t="n">
        <v>0</v>
      </c>
      <c r="G2" s="53" t="n">
        <v>0</v>
      </c>
      <c r="H2" s="53" t="n">
        <v>0</v>
      </c>
      <c r="I2" s="53" t="inlineStr"/>
      <c r="J2" s="53" t="n">
        <v>2</v>
      </c>
      <c r="K2" s="53" t="inlineStr"/>
      <c r="L2" s="53" t="inlineStr"/>
      <c r="M2" s="53" t="inlineStr"/>
      <c r="N2" s="53" t="inlineStr"/>
      <c r="O2" s="53" t="inlineStr"/>
      <c r="P2" s="53" t="inlineStr"/>
      <c r="Q2" s="53" t="inlineStr"/>
    </row>
    <row r="3">
      <c r="A3" s="53" t="n">
        <v>8813001304</v>
      </c>
      <c r="B3" s="53" t="inlineStr">
        <is>
          <t>HSA-216</t>
        </is>
      </c>
      <c r="C3" s="53" t="n">
        <v>0</v>
      </c>
      <c r="D3" s="53" t="n">
        <v>0</v>
      </c>
      <c r="E3" s="53" t="n">
        <v>0</v>
      </c>
      <c r="F3" s="53" t="n">
        <v>0</v>
      </c>
      <c r="G3" s="53" t="n">
        <v>0</v>
      </c>
      <c r="H3" s="53" t="n">
        <v>5</v>
      </c>
      <c r="I3" s="53" t="inlineStr"/>
      <c r="J3" s="53" t="n">
        <v>5</v>
      </c>
      <c r="K3" s="53" t="inlineStr"/>
      <c r="L3" s="53" t="n">
        <v>0</v>
      </c>
      <c r="M3" s="53" t="inlineStr"/>
      <c r="N3" s="53" t="inlineStr"/>
      <c r="O3" s="53" t="inlineStr"/>
      <c r="P3" s="53" t="inlineStr"/>
      <c r="Q3" s="53" t="inlineStr"/>
    </row>
    <row r="4">
      <c r="A4" s="53" t="n">
        <v>8813000963</v>
      </c>
      <c r="B4" s="53" t="inlineStr">
        <is>
          <t>HEP3150</t>
        </is>
      </c>
      <c r="C4" s="53" t="n">
        <v>0</v>
      </c>
      <c r="D4" s="53" t="n">
        <v>0</v>
      </c>
      <c r="E4" s="53" t="n">
        <v>0</v>
      </c>
      <c r="F4" s="53" t="inlineStr"/>
      <c r="G4" s="53" t="inlineStr"/>
      <c r="H4" s="53" t="n">
        <v>0</v>
      </c>
      <c r="I4" s="53" t="inlineStr"/>
      <c r="J4" s="53" t="inlineStr"/>
      <c r="K4" s="53" t="inlineStr"/>
      <c r="L4" s="53" t="inlineStr"/>
      <c r="M4" s="53" t="inlineStr"/>
      <c r="N4" s="53" t="inlineStr"/>
      <c r="O4" s="53" t="inlineStr"/>
      <c r="P4" s="53" t="n">
        <v>2</v>
      </c>
      <c r="Q4" s="53" t="inlineStr"/>
    </row>
    <row r="5">
      <c r="A5" s="53" t="n">
        <v>8813001305</v>
      </c>
      <c r="B5" s="53" t="inlineStr">
        <is>
          <t>HSA-316</t>
        </is>
      </c>
      <c r="C5" s="53" t="n">
        <v>3</v>
      </c>
      <c r="D5" s="53" t="n">
        <v>0</v>
      </c>
      <c r="E5" s="53" t="n">
        <v>0</v>
      </c>
      <c r="F5" s="53" t="n">
        <v>0</v>
      </c>
      <c r="G5" s="53" t="n">
        <v>0</v>
      </c>
      <c r="H5" s="53" t="n">
        <v>1</v>
      </c>
      <c r="I5" s="53" t="inlineStr"/>
      <c r="J5" s="53" t="n">
        <v>4</v>
      </c>
      <c r="K5" s="53" t="inlineStr"/>
      <c r="L5" s="53" t="n">
        <v>0</v>
      </c>
      <c r="M5" s="53" t="inlineStr"/>
      <c r="N5" s="53" t="inlineStr">
        <is>
          <t>W1:10HR,W2:27HR,W3:5.5HR</t>
        </is>
      </c>
      <c r="O5" s="53" t="inlineStr"/>
      <c r="P5" s="53" t="inlineStr"/>
      <c r="Q5" s="53" t="inlineStr"/>
    </row>
    <row r="6">
      <c r="A6" s="53" t="n">
        <v>8813001063</v>
      </c>
      <c r="B6" s="53" t="inlineStr">
        <is>
          <t>HSA-220</t>
        </is>
      </c>
      <c r="C6" s="53" t="n">
        <v>0</v>
      </c>
      <c r="D6" s="53" t="n">
        <v>0</v>
      </c>
      <c r="E6" s="53" t="n">
        <v>0</v>
      </c>
      <c r="F6" s="53" t="inlineStr"/>
      <c r="G6" s="53" t="inlineStr"/>
      <c r="H6" s="53" t="n">
        <v>0</v>
      </c>
      <c r="I6" s="53" t="inlineStr"/>
      <c r="J6" s="53" t="inlineStr"/>
      <c r="K6" s="53" t="inlineStr"/>
      <c r="L6" s="53" t="inlineStr"/>
      <c r="M6" s="53" t="inlineStr"/>
      <c r="N6" s="53" t="inlineStr"/>
      <c r="O6" s="53" t="inlineStr"/>
      <c r="P6" s="53" t="inlineStr"/>
      <c r="Q6" s="53" t="inlineStr"/>
    </row>
    <row r="7">
      <c r="A7" s="53" t="n">
        <v>8813001071</v>
      </c>
      <c r="B7" s="53" t="inlineStr">
        <is>
          <t>HSA-320</t>
        </is>
      </c>
      <c r="C7" s="53" t="n">
        <v>0</v>
      </c>
      <c r="D7" s="53" t="n">
        <v>0</v>
      </c>
      <c r="E7" s="53" t="n">
        <v>0</v>
      </c>
      <c r="F7" s="53" t="inlineStr"/>
      <c r="G7" s="53" t="inlineStr"/>
      <c r="H7" s="53" t="n">
        <v>0</v>
      </c>
      <c r="I7" s="53" t="inlineStr"/>
      <c r="J7" s="53" t="inlineStr"/>
      <c r="K7" s="53" t="inlineStr"/>
      <c r="L7" s="53" t="n">
        <v>0</v>
      </c>
      <c r="M7" s="53" t="inlineStr"/>
      <c r="N7" s="53" t="inlineStr">
        <is>
          <t>自修T溝尺寸破工公差(第三區-噴漆)-12/22</t>
        </is>
      </c>
      <c r="O7" s="53" t="inlineStr"/>
      <c r="P7" s="53" t="n">
        <v>3</v>
      </c>
      <c r="Q7" s="53" t="inlineStr">
        <is>
          <t>12/10 庫存已扣</t>
        </is>
      </c>
    </row>
    <row r="8">
      <c r="A8" s="53" t="n">
        <v>8813001377</v>
      </c>
      <c r="B8" s="53" t="inlineStr">
        <is>
          <t>HSA-320_NEO</t>
        </is>
      </c>
      <c r="C8" s="53" t="n">
        <v>0</v>
      </c>
      <c r="D8" s="53" t="n">
        <v>0</v>
      </c>
      <c r="E8" s="53" t="n">
        <v>0</v>
      </c>
      <c r="F8" s="53" t="inlineStr"/>
      <c r="G8" s="53" t="inlineStr"/>
      <c r="H8" s="53" t="n">
        <v>0</v>
      </c>
      <c r="I8" s="53" t="inlineStr"/>
      <c r="J8" s="53" t="inlineStr"/>
      <c r="K8" s="53" t="inlineStr"/>
      <c r="L8" s="53" t="inlineStr"/>
      <c r="M8" s="53" t="inlineStr"/>
      <c r="N8" s="53" t="inlineStr"/>
      <c r="O8" s="53" t="inlineStr"/>
      <c r="P8" s="53" t="inlineStr"/>
      <c r="Q8" s="53" t="inlineStr"/>
    </row>
    <row r="9">
      <c r="A9" s="53" t="n">
        <v>8813001120</v>
      </c>
      <c r="B9" s="53" t="inlineStr">
        <is>
          <t>HSA-323</t>
        </is>
      </c>
      <c r="C9" s="53" t="n">
        <v>0</v>
      </c>
      <c r="D9" s="53" t="n">
        <v>0</v>
      </c>
      <c r="E9" s="53" t="n">
        <v>0</v>
      </c>
      <c r="F9" s="53" t="inlineStr"/>
      <c r="G9" s="53" t="inlineStr"/>
      <c r="H9" s="53" t="n">
        <v>1</v>
      </c>
      <c r="I9" s="53" t="inlineStr"/>
      <c r="J9" s="53" t="inlineStr"/>
      <c r="K9" s="53" t="n">
        <v>0</v>
      </c>
      <c r="L9" s="53" t="n">
        <v>0</v>
      </c>
      <c r="M9" s="53" t="inlineStr"/>
      <c r="N9" s="53" t="inlineStr">
        <is>
          <t>W1:18HR,W2:40HR,W3:4.5HR</t>
        </is>
      </c>
      <c r="O9" s="53" t="inlineStr"/>
      <c r="P9" s="53" t="inlineStr"/>
      <c r="Q9" s="53" t="inlineStr"/>
    </row>
    <row r="10">
      <c r="A10" s="53" t="n">
        <v>8813001187</v>
      </c>
      <c r="B10" s="53" t="inlineStr">
        <is>
          <t>HSA-328</t>
        </is>
      </c>
      <c r="C10" s="53" t="n">
        <v>0</v>
      </c>
      <c r="D10" s="53" t="n">
        <v>0</v>
      </c>
      <c r="E10" s="53" t="n">
        <v>0</v>
      </c>
      <c r="F10" s="53" t="inlineStr"/>
      <c r="G10" s="53" t="inlineStr"/>
      <c r="H10" s="53" t="n">
        <v>0</v>
      </c>
      <c r="I10" s="53" t="inlineStr"/>
      <c r="J10" s="53" t="inlineStr"/>
      <c r="K10" s="53" t="inlineStr"/>
      <c r="L10" s="53" t="inlineStr"/>
      <c r="M10" s="53" t="inlineStr"/>
      <c r="N10" s="53" t="inlineStr"/>
      <c r="O10" s="53" t="inlineStr"/>
      <c r="P10" s="53" t="inlineStr"/>
      <c r="Q10" s="53" t="inlineStr"/>
    </row>
    <row r="11">
      <c r="A11" s="53" t="n">
        <v>8813001085</v>
      </c>
      <c r="B11" s="53" t="inlineStr">
        <is>
          <t>HSA-420</t>
        </is>
      </c>
      <c r="C11" s="53" t="n">
        <v>0</v>
      </c>
      <c r="D11" s="53" t="n">
        <v>0</v>
      </c>
      <c r="E11" s="53" t="n">
        <v>0</v>
      </c>
      <c r="F11" s="53" t="inlineStr"/>
      <c r="G11" s="53" t="inlineStr"/>
      <c r="H11" s="53" t="n">
        <v>0</v>
      </c>
      <c r="I11" s="53" t="inlineStr"/>
      <c r="J11" s="53" t="inlineStr"/>
      <c r="K11" s="53" t="inlineStr"/>
      <c r="L11" s="53" t="inlineStr"/>
      <c r="M11" s="53" t="inlineStr"/>
      <c r="N11" s="53" t="inlineStr"/>
      <c r="O11" s="53" t="inlineStr"/>
      <c r="P11" s="53" t="inlineStr"/>
      <c r="Q11" s="53" t="inlineStr"/>
    </row>
    <row r="12">
      <c r="A12" s="53" t="n">
        <v>8813001089</v>
      </c>
      <c r="B12" s="53" t="inlineStr">
        <is>
          <t>HSA-423_NEO</t>
        </is>
      </c>
      <c r="C12" s="53" t="n">
        <v>0</v>
      </c>
      <c r="D12" s="53" t="n">
        <v>0</v>
      </c>
      <c r="E12" s="53" t="n">
        <v>0</v>
      </c>
      <c r="F12" s="53" t="inlineStr"/>
      <c r="G12" s="53" t="inlineStr"/>
      <c r="H12" s="53" t="n">
        <v>0</v>
      </c>
      <c r="I12" s="53" t="inlineStr"/>
      <c r="J12" s="53" t="inlineStr"/>
      <c r="K12" s="53" t="inlineStr"/>
      <c r="L12" s="53" t="inlineStr"/>
      <c r="M12" s="53" t="inlineStr"/>
      <c r="N12" s="53" t="inlineStr"/>
      <c r="O12" s="53" t="inlineStr"/>
      <c r="P12" s="53" t="inlineStr"/>
      <c r="Q12" s="53" t="inlineStr"/>
    </row>
    <row r="13">
      <c r="A13" s="53" t="n">
        <v>8813001079</v>
      </c>
      <c r="B13" s="53" t="inlineStr">
        <is>
          <t>HSA-423</t>
        </is>
      </c>
      <c r="C13" s="53" t="n">
        <v>2</v>
      </c>
      <c r="D13" s="53" t="n">
        <v>0</v>
      </c>
      <c r="E13" s="53" t="n">
        <v>0</v>
      </c>
      <c r="F13" s="53" t="n">
        <v>0</v>
      </c>
      <c r="G13" s="53" t="n">
        <v>0</v>
      </c>
      <c r="H13" s="53" t="n">
        <v>1</v>
      </c>
      <c r="I13" s="53" t="inlineStr"/>
      <c r="J13" s="53" t="n">
        <v>3</v>
      </c>
      <c r="K13" s="53" t="inlineStr"/>
      <c r="L13" s="53" t="n">
        <v>1</v>
      </c>
      <c r="M13" s="53" t="inlineStr"/>
      <c r="N13" s="53" t="inlineStr">
        <is>
          <t>W1:21HR,W2:46HR,W3:5.5HR</t>
        </is>
      </c>
      <c r="O13" s="53" t="inlineStr">
        <is>
          <t>(改單-3溝X向定位溝)</t>
        </is>
      </c>
      <c r="P13" s="53" t="inlineStr"/>
      <c r="Q13" s="53" t="inlineStr"/>
    </row>
    <row r="14">
      <c r="A14" s="53" t="n">
        <v>8813001060</v>
      </c>
      <c r="B14" s="53" t="inlineStr">
        <is>
          <t>HSA-428</t>
        </is>
      </c>
      <c r="C14" s="53" t="n">
        <v>0</v>
      </c>
      <c r="D14" s="53" t="n">
        <v>0</v>
      </c>
      <c r="E14" s="53" t="n">
        <v>0</v>
      </c>
      <c r="F14" s="53" t="inlineStr"/>
      <c r="G14" s="53" t="inlineStr"/>
      <c r="H14" s="53" t="n">
        <v>0</v>
      </c>
      <c r="I14" s="53" t="inlineStr"/>
      <c r="J14" s="53" t="inlineStr"/>
      <c r="K14" s="53" t="inlineStr"/>
      <c r="L14" s="53" t="inlineStr"/>
      <c r="M14" s="53" t="inlineStr"/>
      <c r="N14" s="53" t="inlineStr"/>
      <c r="O14" s="53" t="inlineStr"/>
      <c r="P14" s="53" t="inlineStr"/>
      <c r="Q14" s="53" t="inlineStr"/>
    </row>
    <row r="15">
      <c r="A15" s="53" t="n">
        <v>8813001121</v>
      </c>
      <c r="B15" s="53" t="inlineStr">
        <is>
          <t>HSA-436</t>
        </is>
      </c>
      <c r="C15" s="53" t="n">
        <v>0</v>
      </c>
      <c r="D15" s="53" t="n">
        <v>0</v>
      </c>
      <c r="E15" s="53" t="n">
        <v>0</v>
      </c>
      <c r="F15" s="53" t="inlineStr"/>
      <c r="G15" s="53" t="inlineStr"/>
      <c r="H15" s="53" t="n">
        <v>0</v>
      </c>
      <c r="I15" s="53" t="inlineStr"/>
      <c r="J15" s="53" t="inlineStr"/>
      <c r="K15" s="53" t="inlineStr"/>
      <c r="L15" s="53" t="inlineStr"/>
      <c r="M15" s="53" t="inlineStr"/>
      <c r="N15" s="53" t="inlineStr"/>
      <c r="O15" s="53" t="inlineStr"/>
      <c r="P15" s="53" t="inlineStr"/>
      <c r="Q15" s="53" t="inlineStr"/>
    </row>
    <row r="16">
      <c r="A16" s="53" t="n">
        <v>8813001147</v>
      </c>
      <c r="B16" s="53" t="inlineStr">
        <is>
          <t>HSA-523</t>
        </is>
      </c>
      <c r="C16" s="53" t="n">
        <v>1</v>
      </c>
      <c r="D16" s="53" t="n">
        <v>1</v>
      </c>
      <c r="E16" s="53" t="n">
        <v>0</v>
      </c>
      <c r="F16" s="53" t="n">
        <v>0</v>
      </c>
      <c r="G16" s="53" t="n">
        <v>0</v>
      </c>
      <c r="H16" s="53" t="n">
        <v>1</v>
      </c>
      <c r="I16" s="53" t="inlineStr"/>
      <c r="J16" s="53" t="n">
        <v>3</v>
      </c>
      <c r="K16" s="53" t="inlineStr"/>
      <c r="L16" s="53" t="inlineStr"/>
      <c r="M16" s="53" t="inlineStr"/>
      <c r="N16" s="53" t="inlineStr">
        <is>
          <t>12/10 庫存已扣</t>
        </is>
      </c>
      <c r="O16" s="53" t="inlineStr"/>
      <c r="P16" s="53" t="n">
        <v>2</v>
      </c>
      <c r="Q16" s="53" t="inlineStr"/>
    </row>
    <row r="17">
      <c r="A17" s="53" t="n">
        <v>8813001061</v>
      </c>
      <c r="B17" s="53" t="inlineStr">
        <is>
          <t>HSA-528</t>
        </is>
      </c>
      <c r="C17" s="53" t="n">
        <v>0</v>
      </c>
      <c r="D17" s="53" t="n">
        <v>0</v>
      </c>
      <c r="E17" s="53" t="n">
        <v>0</v>
      </c>
      <c r="F17" s="53" t="n">
        <v>0</v>
      </c>
      <c r="G17" s="53" t="n">
        <v>0</v>
      </c>
      <c r="H17" s="53" t="n">
        <v>0</v>
      </c>
      <c r="I17" s="53" t="inlineStr"/>
      <c r="J17" s="53" t="n">
        <v>0</v>
      </c>
      <c r="K17" s="53" t="inlineStr"/>
      <c r="L17" s="53" t="inlineStr"/>
      <c r="M17" s="53" t="inlineStr"/>
      <c r="N17" s="53" t="inlineStr"/>
      <c r="O17" s="53" t="inlineStr"/>
      <c r="P17" s="53" t="n">
        <v>2</v>
      </c>
      <c r="Q17" s="53" t="inlineStr"/>
    </row>
    <row r="18">
      <c r="A18" s="53" t="n">
        <v>8813001068</v>
      </c>
      <c r="B18" s="53" t="inlineStr">
        <is>
          <t>HSA-536</t>
        </is>
      </c>
      <c r="C18" s="53" t="n">
        <v>0</v>
      </c>
      <c r="D18" s="53" t="n">
        <v>0</v>
      </c>
      <c r="E18" s="53" t="n">
        <v>0</v>
      </c>
      <c r="F18" s="53" t="inlineStr"/>
      <c r="G18" s="53" t="inlineStr"/>
      <c r="H18" s="53" t="n">
        <v>0</v>
      </c>
      <c r="I18" s="53" t="inlineStr"/>
      <c r="J18" s="53" t="inlineStr"/>
      <c r="K18" s="53" t="inlineStr"/>
      <c r="L18" s="53" t="inlineStr"/>
      <c r="M18" s="53" t="inlineStr"/>
      <c r="N18" s="53" t="inlineStr"/>
      <c r="O18" s="53" t="inlineStr"/>
      <c r="P18" s="53" t="inlineStr"/>
      <c r="Q18" s="53" t="inlineStr"/>
    </row>
    <row r="19">
      <c r="A19" s="53" t="n">
        <v>8813001132</v>
      </c>
      <c r="B19" s="53" t="inlineStr">
        <is>
          <t>HSA-623</t>
        </is>
      </c>
      <c r="C19" s="53" t="n">
        <v>0</v>
      </c>
      <c r="D19" s="53" t="n">
        <v>0</v>
      </c>
      <c r="E19" s="53" t="n">
        <v>0</v>
      </c>
      <c r="F19" s="53" t="inlineStr"/>
      <c r="G19" s="53" t="inlineStr"/>
      <c r="H19" s="53" t="n">
        <v>0</v>
      </c>
      <c r="I19" s="53" t="inlineStr"/>
      <c r="J19" s="53" t="inlineStr"/>
      <c r="K19" s="53" t="inlineStr"/>
      <c r="L19" s="53" t="inlineStr"/>
      <c r="M19" s="53" t="inlineStr"/>
      <c r="N19" s="53" t="inlineStr"/>
      <c r="O19" s="53" t="inlineStr"/>
      <c r="P19" s="53" t="inlineStr"/>
      <c r="Q19" s="53" t="inlineStr"/>
    </row>
    <row r="20">
      <c r="A20" s="53" t="n">
        <v>8813001056</v>
      </c>
      <c r="B20" s="53" t="inlineStr">
        <is>
          <t>HSA-628</t>
        </is>
      </c>
      <c r="C20" s="53" t="n">
        <v>0</v>
      </c>
      <c r="D20" s="53" t="n">
        <v>0</v>
      </c>
      <c r="E20" s="53" t="n">
        <v>0</v>
      </c>
      <c r="F20" s="53" t="inlineStr"/>
      <c r="G20" s="53" t="inlineStr"/>
      <c r="H20" s="53" t="n">
        <v>0</v>
      </c>
      <c r="I20" s="53" t="inlineStr"/>
      <c r="J20" s="53" t="inlineStr"/>
      <c r="K20" s="53" t="inlineStr"/>
      <c r="L20" s="53" t="inlineStr"/>
      <c r="M20" s="53" t="inlineStr"/>
      <c r="N20" s="53" t="inlineStr"/>
      <c r="O20" s="53" t="inlineStr"/>
      <c r="P20" s="53" t="inlineStr"/>
      <c r="Q20" s="53" t="inlineStr"/>
    </row>
    <row r="21">
      <c r="A21" s="53" t="n">
        <v>8813001086</v>
      </c>
      <c r="B21" s="53" t="inlineStr">
        <is>
          <t>HSA-636</t>
        </is>
      </c>
      <c r="C21" s="53" t="n">
        <v>0</v>
      </c>
      <c r="D21" s="53" t="n">
        <v>0</v>
      </c>
      <c r="E21" s="53" t="n">
        <v>0</v>
      </c>
      <c r="F21" s="53" t="inlineStr"/>
      <c r="G21" s="53" t="inlineStr"/>
      <c r="H21" s="53" t="n">
        <v>0</v>
      </c>
      <c r="I21" s="53" t="inlineStr"/>
      <c r="J21" s="53" t="inlineStr"/>
      <c r="K21" s="53" t="inlineStr"/>
      <c r="L21" s="53" t="n">
        <v>0</v>
      </c>
      <c r="M21" s="53" t="inlineStr"/>
      <c r="N21" s="53" t="inlineStr"/>
      <c r="O21" s="53" t="inlineStr"/>
      <c r="P21" s="53" t="inlineStr"/>
      <c r="Q21" s="53" t="inlineStr"/>
    </row>
    <row r="22">
      <c r="A22" s="53" t="n">
        <v>8813001171</v>
      </c>
      <c r="B22" s="53" t="inlineStr">
        <is>
          <t>HSA-728</t>
        </is>
      </c>
      <c r="C22" s="53" t="n">
        <v>0</v>
      </c>
      <c r="D22" s="53" t="n">
        <v>0</v>
      </c>
      <c r="E22" s="53" t="n">
        <v>0</v>
      </c>
      <c r="F22" s="53" t="inlineStr"/>
      <c r="G22" s="53" t="inlineStr"/>
      <c r="H22" s="53" t="n">
        <v>0</v>
      </c>
      <c r="I22" s="53" t="inlineStr"/>
      <c r="J22" s="53" t="inlineStr"/>
      <c r="K22" s="53" t="inlineStr"/>
      <c r="L22" s="53" t="inlineStr"/>
      <c r="M22" s="53" t="inlineStr"/>
      <c r="N22" s="53" t="inlineStr"/>
      <c r="O22" s="53" t="inlineStr"/>
      <c r="P22" s="53" t="inlineStr"/>
      <c r="Q22" s="53" t="inlineStr"/>
    </row>
    <row r="23">
      <c r="A23" s="53" t="n">
        <v>8813001152</v>
      </c>
      <c r="B23" s="53" t="inlineStr">
        <is>
          <t>HSA-736</t>
        </is>
      </c>
      <c r="C23" s="53" t="n">
        <v>0</v>
      </c>
      <c r="D23" s="53" t="n">
        <v>0</v>
      </c>
      <c r="E23" s="53" t="n">
        <v>0</v>
      </c>
      <c r="F23" s="53" t="inlineStr"/>
      <c r="G23" s="53" t="inlineStr"/>
      <c r="H23" s="53" t="n">
        <v>0</v>
      </c>
      <c r="I23" s="53" t="inlineStr"/>
      <c r="J23" s="53" t="inlineStr"/>
      <c r="K23" s="53" t="inlineStr"/>
      <c r="L23" s="53" t="inlineStr"/>
      <c r="M23" s="53" t="inlineStr"/>
      <c r="N23" s="53" t="inlineStr"/>
      <c r="O23" s="53" t="inlineStr"/>
      <c r="P23" s="53" t="inlineStr"/>
      <c r="Q23" s="53" t="inlineStr"/>
    </row>
    <row r="24">
      <c r="A24" s="53" t="n">
        <v>8813001252</v>
      </c>
      <c r="B24" s="53" t="inlineStr">
        <is>
          <t>SW-216</t>
        </is>
      </c>
      <c r="C24" s="53" t="n">
        <v>0</v>
      </c>
      <c r="D24" s="53" t="n">
        <v>0</v>
      </c>
      <c r="E24" s="53" t="n">
        <v>0</v>
      </c>
      <c r="F24" s="53" t="n">
        <v>0</v>
      </c>
      <c r="G24" s="53" t="n">
        <v>0</v>
      </c>
      <c r="H24" s="53" t="n">
        <v>1</v>
      </c>
      <c r="I24" s="53" t="inlineStr"/>
      <c r="J24" s="53" t="n">
        <v>1</v>
      </c>
      <c r="K24" s="53" t="inlineStr"/>
      <c r="L24" s="53" t="inlineStr"/>
      <c r="M24" s="53" t="inlineStr"/>
      <c r="N24" s="53" t="inlineStr"/>
      <c r="O24" s="53" t="inlineStr"/>
      <c r="P24" s="53" t="inlineStr"/>
      <c r="Q24" s="53" t="inlineStr"/>
    </row>
    <row r="25">
      <c r="A25" s="53" t="n">
        <v>8813001178</v>
      </c>
      <c r="B25" s="53" t="inlineStr">
        <is>
          <t>SW-2616</t>
        </is>
      </c>
      <c r="C25" s="53" t="n">
        <v>0</v>
      </c>
      <c r="D25" s="53" t="n">
        <v>0</v>
      </c>
      <c r="E25" s="53" t="n">
        <v>0</v>
      </c>
      <c r="F25" s="53" t="inlineStr"/>
      <c r="G25" s="53" t="n">
        <v>0</v>
      </c>
      <c r="H25" s="53" t="n">
        <v>0</v>
      </c>
      <c r="I25" s="53" t="inlineStr"/>
      <c r="J25" s="53" t="inlineStr"/>
      <c r="K25" s="53" t="inlineStr"/>
      <c r="L25" s="53" t="inlineStr"/>
      <c r="M25" s="53" t="inlineStr"/>
      <c r="N25" s="53" t="inlineStr"/>
      <c r="O25" s="53" t="inlineStr">
        <is>
          <t>此2+1台為舊鑄件(螺姆孔大小設變)</t>
        </is>
      </c>
      <c r="P25" s="53" t="n">
        <v>1</v>
      </c>
      <c r="Q25" s="53" t="inlineStr"/>
    </row>
    <row r="26">
      <c r="A26" s="53" t="n">
        <v>8813001246</v>
      </c>
      <c r="B26" s="53" t="inlineStr">
        <is>
          <t>SW-220</t>
        </is>
      </c>
      <c r="C26" s="53" t="n">
        <v>0</v>
      </c>
      <c r="D26" s="53" t="n">
        <v>0</v>
      </c>
      <c r="E26" s="53" t="n">
        <v>0</v>
      </c>
      <c r="F26" s="53" t="inlineStr"/>
      <c r="G26" s="53" t="n">
        <v>0</v>
      </c>
      <c r="H26" s="53" t="n">
        <v>0</v>
      </c>
      <c r="I26" s="53" t="inlineStr"/>
      <c r="J26" s="53" t="inlineStr"/>
      <c r="K26" s="53" t="inlineStr"/>
      <c r="L26" s="53" t="inlineStr"/>
      <c r="M26" s="53" t="inlineStr"/>
      <c r="N26" s="53" t="inlineStr"/>
      <c r="O26" s="53" t="inlineStr"/>
      <c r="P26" s="53" t="inlineStr"/>
      <c r="Q26" s="53" t="inlineStr"/>
    </row>
    <row r="27">
      <c r="A27" s="53" t="n">
        <v>8813001254</v>
      </c>
      <c r="B27" s="53" t="inlineStr">
        <is>
          <t>SW-316</t>
        </is>
      </c>
      <c r="C27" s="53" t="n">
        <v>2</v>
      </c>
      <c r="D27" s="53" t="n">
        <v>0</v>
      </c>
      <c r="E27" s="53" t="n">
        <v>1</v>
      </c>
      <c r="F27" s="53" t="n">
        <v>0</v>
      </c>
      <c r="G27" s="53" t="n">
        <v>0</v>
      </c>
      <c r="H27" s="53" t="n">
        <v>1</v>
      </c>
      <c r="I27" s="53" t="inlineStr"/>
      <c r="J27" s="53" t="n">
        <v>4</v>
      </c>
      <c r="K27" s="53" t="inlineStr"/>
      <c r="L27" s="53" t="n">
        <v>0</v>
      </c>
      <c r="M27" s="53" t="inlineStr"/>
      <c r="N27" s="53" t="inlineStr">
        <is>
          <t>W1:17HR,W2:22HR,W4:5.5HR,W5:9.5HR</t>
        </is>
      </c>
      <c r="O27" s="53" t="inlineStr"/>
      <c r="P27" s="53" t="inlineStr">
        <is>
          <t>-</t>
        </is>
      </c>
      <c r="Q27" s="53" t="inlineStr"/>
    </row>
    <row r="28">
      <c r="A28" s="53" t="n">
        <v>8813001247</v>
      </c>
      <c r="B28" s="53" t="inlineStr">
        <is>
          <t>SW-320</t>
        </is>
      </c>
      <c r="C28" s="53" t="n">
        <v>0</v>
      </c>
      <c r="D28" s="53" t="n">
        <v>0</v>
      </c>
      <c r="E28" s="53" t="n">
        <v>0</v>
      </c>
      <c r="F28" s="53" t="inlineStr"/>
      <c r="G28" s="53" t="n">
        <v>0</v>
      </c>
      <c r="H28" s="53" t="n">
        <v>3</v>
      </c>
      <c r="I28" s="53" t="inlineStr"/>
      <c r="J28" s="53" t="inlineStr"/>
      <c r="K28" s="53" t="inlineStr"/>
      <c r="L28" s="53" t="n">
        <v>0</v>
      </c>
      <c r="M28" s="53" t="inlineStr"/>
      <c r="N28" s="53" t="inlineStr"/>
      <c r="O28" s="53" t="inlineStr"/>
      <c r="P28" s="53" t="n">
        <v>2</v>
      </c>
      <c r="Q28" s="53" t="inlineStr"/>
    </row>
    <row r="29">
      <c r="A29" s="53" t="n">
        <v>8813001244</v>
      </c>
      <c r="B29" s="53" t="inlineStr">
        <is>
          <t>SW-323</t>
        </is>
      </c>
      <c r="C29" s="53" t="n">
        <v>0</v>
      </c>
      <c r="D29" s="53" t="n">
        <v>0</v>
      </c>
      <c r="E29" s="53" t="n">
        <v>0</v>
      </c>
      <c r="F29" s="53" t="inlineStr"/>
      <c r="G29" s="53" t="n">
        <v>0</v>
      </c>
      <c r="H29" s="53" t="n">
        <v>1</v>
      </c>
      <c r="I29" s="53" t="inlineStr"/>
      <c r="J29" s="53" t="inlineStr"/>
      <c r="K29" s="53" t="inlineStr"/>
      <c r="L29" s="53" t="inlineStr"/>
      <c r="M29" s="53" t="inlineStr"/>
      <c r="N29" s="53" t="inlineStr">
        <is>
          <t>H08000573*1做完知會蔡高專。</t>
        </is>
      </c>
      <c r="O29" s="53" t="inlineStr"/>
      <c r="P29" s="53" t="inlineStr"/>
      <c r="Q29" s="53" t="inlineStr"/>
    </row>
    <row r="30">
      <c r="A30" s="53" t="n">
        <v>8813001256</v>
      </c>
      <c r="B30" s="53" t="inlineStr">
        <is>
          <t>SW-326</t>
        </is>
      </c>
      <c r="C30" s="53" t="n">
        <v>0</v>
      </c>
      <c r="D30" s="53" t="n">
        <v>0</v>
      </c>
      <c r="E30" s="53" t="n">
        <v>0</v>
      </c>
      <c r="F30" s="53" t="inlineStr"/>
      <c r="G30" s="53" t="n">
        <v>0</v>
      </c>
      <c r="H30" s="53" t="n">
        <v>0</v>
      </c>
      <c r="I30" s="53" t="inlineStr"/>
      <c r="J30" s="53" t="inlineStr"/>
      <c r="K30" s="53" t="inlineStr"/>
      <c r="L30" s="53" t="inlineStr"/>
      <c r="M30" s="53" t="inlineStr"/>
      <c r="N30" s="53" t="inlineStr"/>
      <c r="O30" s="53" t="inlineStr"/>
      <c r="P30" s="53" t="inlineStr"/>
      <c r="Q30" s="53" t="inlineStr"/>
    </row>
    <row r="31">
      <c r="A31" s="53" t="n">
        <v>8813001255</v>
      </c>
      <c r="B31" s="53" t="inlineStr">
        <is>
          <t>SW-416</t>
        </is>
      </c>
      <c r="C31" s="53" t="n">
        <v>0</v>
      </c>
      <c r="D31" s="53" t="n">
        <v>0</v>
      </c>
      <c r="E31" s="53" t="n">
        <v>0</v>
      </c>
      <c r="F31" s="53" t="inlineStr"/>
      <c r="G31" s="53" t="n">
        <v>0</v>
      </c>
      <c r="H31" s="53" t="n">
        <v>2</v>
      </c>
      <c r="I31" s="53" t="inlineStr"/>
      <c r="J31" s="53" t="inlineStr"/>
      <c r="K31" s="53" t="inlineStr"/>
      <c r="L31" s="53" t="inlineStr"/>
      <c r="M31" s="53" t="inlineStr"/>
      <c r="N31" s="53" t="inlineStr"/>
      <c r="O31" s="53" t="inlineStr"/>
      <c r="P31" s="53" t="inlineStr"/>
      <c r="Q31" s="53" t="inlineStr"/>
    </row>
    <row r="32">
      <c r="A32" s="53" t="n">
        <v>8813001248</v>
      </c>
      <c r="B32" s="53" t="inlineStr">
        <is>
          <t>SW-420</t>
        </is>
      </c>
      <c r="C32" s="53" t="n">
        <v>0</v>
      </c>
      <c r="D32" s="53" t="n">
        <v>0</v>
      </c>
      <c r="E32" s="53" t="n">
        <v>0</v>
      </c>
      <c r="F32" s="53" t="inlineStr"/>
      <c r="G32" s="53" t="n">
        <v>0</v>
      </c>
      <c r="H32" s="53" t="n">
        <v>0</v>
      </c>
      <c r="I32" s="53" t="inlineStr"/>
      <c r="J32" s="53" t="inlineStr"/>
      <c r="K32" s="53" t="inlineStr"/>
      <c r="L32" s="53" t="inlineStr"/>
      <c r="M32" s="53" t="inlineStr"/>
      <c r="N32" s="53" t="inlineStr"/>
      <c r="O32" s="53" t="inlineStr"/>
      <c r="P32" s="53" t="inlineStr"/>
      <c r="Q32" s="53" t="inlineStr"/>
    </row>
    <row r="33">
      <c r="A33" s="53" t="n">
        <v>8813001261</v>
      </c>
      <c r="B33" s="53" t="inlineStr">
        <is>
          <t>SW-423</t>
        </is>
      </c>
      <c r="C33" s="53" t="n">
        <v>0</v>
      </c>
      <c r="D33" s="53" t="n">
        <v>0</v>
      </c>
      <c r="E33" s="53" t="n">
        <v>0</v>
      </c>
      <c r="F33" s="53" t="n">
        <v>0</v>
      </c>
      <c r="G33" s="53" t="n">
        <v>0</v>
      </c>
      <c r="H33" s="53" t="n">
        <v>1</v>
      </c>
      <c r="I33" s="53" t="inlineStr"/>
      <c r="J33" s="53" t="n">
        <v>1</v>
      </c>
      <c r="K33" s="53" t="inlineStr"/>
      <c r="L33" s="53" t="inlineStr"/>
      <c r="M33" s="53" t="inlineStr"/>
      <c r="N33" s="53" t="inlineStr">
        <is>
          <t>W1:21HR,W2:43HR,W4:5.5HR,W5:10HR</t>
        </is>
      </c>
      <c r="O33" s="53" t="inlineStr"/>
      <c r="P33" s="53" t="n">
        <v>1</v>
      </c>
      <c r="Q33" s="53" t="inlineStr"/>
    </row>
    <row r="34">
      <c r="A34" s="53" t="n">
        <v>8813001353</v>
      </c>
      <c r="B34" s="53" t="inlineStr">
        <is>
          <t>SW-426</t>
        </is>
      </c>
      <c r="C34" s="53" t="n">
        <v>0</v>
      </c>
      <c r="D34" s="53" t="n">
        <v>0</v>
      </c>
      <c r="E34" s="53" t="n">
        <v>0</v>
      </c>
      <c r="F34" s="53" t="inlineStr"/>
      <c r="G34" s="53" t="n">
        <v>0</v>
      </c>
      <c r="H34" s="53" t="n">
        <v>0</v>
      </c>
      <c r="I34" s="53" t="inlineStr"/>
      <c r="J34" s="53" t="inlineStr"/>
      <c r="K34" s="53" t="inlineStr"/>
      <c r="L34" s="53" t="inlineStr"/>
      <c r="M34" s="53" t="inlineStr"/>
      <c r="N34" s="53" t="inlineStr"/>
      <c r="O34" s="53" t="inlineStr"/>
      <c r="P34" s="53" t="inlineStr"/>
      <c r="Q34" s="53" t="inlineStr"/>
    </row>
    <row r="35">
      <c r="A35" s="53" t="n">
        <v>8813001262</v>
      </c>
      <c r="B35" s="53" t="inlineStr">
        <is>
          <t>SW-523</t>
        </is>
      </c>
      <c r="C35" s="53" t="n">
        <v>0</v>
      </c>
      <c r="D35" s="53" t="n">
        <v>0</v>
      </c>
      <c r="E35" s="53" t="n">
        <v>0</v>
      </c>
      <c r="F35" s="53" t="inlineStr"/>
      <c r="G35" s="53" t="n">
        <v>0</v>
      </c>
      <c r="H35" s="53" t="n">
        <v>0</v>
      </c>
      <c r="I35" s="53" t="inlineStr"/>
      <c r="J35" s="53" t="inlineStr"/>
      <c r="K35" s="53" t="inlineStr"/>
      <c r="L35" s="53" t="inlineStr"/>
      <c r="M35" s="53" t="inlineStr"/>
      <c r="N35" s="53" t="inlineStr"/>
      <c r="O35" s="53" t="inlineStr"/>
      <c r="P35" s="53" t="inlineStr"/>
      <c r="Q35" s="53" t="inlineStr"/>
    </row>
    <row r="36">
      <c r="A36" s="53" t="n">
        <v>8813001115</v>
      </c>
      <c r="B36" s="53" t="inlineStr">
        <is>
          <t>SW-623</t>
        </is>
      </c>
      <c r="C36" s="53" t="n">
        <v>0</v>
      </c>
      <c r="D36" s="53" t="n">
        <v>1</v>
      </c>
      <c r="E36" s="53" t="n">
        <v>0</v>
      </c>
      <c r="F36" s="53" t="n">
        <v>0</v>
      </c>
      <c r="G36" s="53" t="n">
        <v>0</v>
      </c>
      <c r="H36" s="53" t="n">
        <v>0</v>
      </c>
      <c r="I36" s="53" t="inlineStr"/>
      <c r="J36" s="53" t="n">
        <v>1</v>
      </c>
      <c r="K36" s="53" t="inlineStr"/>
      <c r="L36" s="53" t="n">
        <v>0</v>
      </c>
      <c r="M36" s="53" t="inlineStr"/>
      <c r="N36" s="53" t="inlineStr">
        <is>
          <t>W1:25HR,W2:60HR,W4:7.5HR,W5:12HR</t>
        </is>
      </c>
      <c r="O36" s="53" t="inlineStr"/>
      <c r="P36" s="53" t="inlineStr"/>
      <c r="Q36" s="53" t="inlineStr"/>
    </row>
    <row r="37">
      <c r="A37" s="53" t="n">
        <v>8813001078</v>
      </c>
      <c r="B37" s="53" t="inlineStr">
        <is>
          <t>SW-526</t>
        </is>
      </c>
      <c r="C37" s="53" t="n">
        <v>0</v>
      </c>
      <c r="D37" s="53" t="n">
        <v>0</v>
      </c>
      <c r="E37" s="53" t="n">
        <v>0</v>
      </c>
      <c r="F37" s="53" t="inlineStr"/>
      <c r="G37" s="53" t="n">
        <v>0</v>
      </c>
      <c r="H37" s="53" t="n">
        <v>0</v>
      </c>
      <c r="I37" s="53" t="inlineStr"/>
      <c r="J37" s="53" t="inlineStr"/>
      <c r="K37" s="53" t="inlineStr"/>
      <c r="L37" s="53" t="inlineStr"/>
      <c r="M37" s="53" t="inlineStr"/>
      <c r="N37" s="53" t="inlineStr">
        <is>
          <t>1台傑浩</t>
        </is>
      </c>
      <c r="O37" s="53" t="inlineStr"/>
      <c r="P37" s="53" t="inlineStr"/>
      <c r="Q37" s="53" t="inlineStr"/>
    </row>
    <row r="38">
      <c r="A38" s="53" t="n">
        <v>8813001124</v>
      </c>
      <c r="B38" s="53" t="inlineStr">
        <is>
          <t>HSA-2212</t>
        </is>
      </c>
      <c r="C38" s="53" t="n">
        <v>0</v>
      </c>
      <c r="D38" s="53" t="n">
        <v>0</v>
      </c>
      <c r="E38" s="53" t="n">
        <v>0</v>
      </c>
      <c r="F38" s="53" t="n">
        <v>0</v>
      </c>
      <c r="G38" s="53" t="n">
        <v>0</v>
      </c>
      <c r="H38" s="53" t="n">
        <v>0</v>
      </c>
      <c r="I38" s="53" t="inlineStr"/>
      <c r="J38" s="53" t="n">
        <v>0</v>
      </c>
      <c r="K38" s="53" t="inlineStr"/>
      <c r="L38" s="53" t="inlineStr"/>
      <c r="M38" s="53" t="inlineStr"/>
      <c r="N38" s="53" t="inlineStr">
        <is>
          <t>HA21040801---已出交換---入帳-(11/12出貨)</t>
        </is>
      </c>
      <c r="O38" s="53" t="inlineStr"/>
      <c r="P38" s="53" t="inlineStr"/>
      <c r="Q38" s="53" t="inlineStr"/>
    </row>
    <row r="39">
      <c r="A39" s="53" t="n">
        <v>8813001125</v>
      </c>
      <c r="B39" s="53" t="inlineStr">
        <is>
          <t>HSA-3212</t>
        </is>
      </c>
      <c r="C39" s="53" t="n">
        <v>0</v>
      </c>
      <c r="D39" s="53" t="n">
        <v>0</v>
      </c>
      <c r="E39" s="53" t="n">
        <v>0</v>
      </c>
      <c r="F39" s="53" t="inlineStr"/>
      <c r="G39" s="53" t="inlineStr"/>
      <c r="H39" s="53" t="n">
        <v>0</v>
      </c>
      <c r="I39" s="53" t="inlineStr"/>
      <c r="J39" s="53" t="inlineStr"/>
      <c r="K39" s="53" t="inlineStr"/>
      <c r="L39" s="53" t="inlineStr"/>
      <c r="M39" s="53" t="inlineStr"/>
      <c r="N39" s="53" t="inlineStr"/>
      <c r="O39" s="53" t="inlineStr"/>
      <c r="P39" s="53" t="inlineStr"/>
      <c r="Q39" s="5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indexed="61"/>
    <outlinePr summaryBelow="1" summaryRight="1"/>
    <pageSetUpPr/>
  </sheetPr>
  <dimension ref="A1:P26"/>
  <sheetViews>
    <sheetView showRuler="0" zoomScale="160" zoomScaleNormal="16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XFD2"/>
    </sheetView>
  </sheetViews>
  <sheetFormatPr baseColWidth="8" defaultRowHeight="16.5"/>
  <cols>
    <col width="24.625" customWidth="1" style="90" min="1" max="1"/>
    <col width="22.25" customWidth="1" style="90" min="2" max="2"/>
    <col width="11.75" customWidth="1" style="90" min="6" max="6"/>
    <col width="12.125" customWidth="1" style="90" min="7" max="8"/>
    <col width="13.25" customWidth="1" style="90" min="10" max="10"/>
    <col width="18" customWidth="1" style="53" min="11" max="11"/>
    <col width="18" customWidth="1" style="90" min="12" max="12"/>
    <col width="23.25" customWidth="1" style="90" min="14" max="14"/>
    <col width="18.875" customWidth="1" style="90" min="15" max="15"/>
    <col width="33.25" customWidth="1" style="90" min="16" max="16"/>
  </cols>
  <sheetData>
    <row r="1">
      <c r="A1" s="54" t="inlineStr">
        <is>
          <t>品號</t>
        </is>
      </c>
      <c r="B1" s="54" t="inlineStr">
        <is>
          <t>機型</t>
        </is>
      </c>
      <c r="C1" s="54" t="inlineStr">
        <is>
          <t>素材</t>
        </is>
      </c>
      <c r="D1" s="54" t="inlineStr">
        <is>
          <t>製程7</t>
        </is>
      </c>
      <c r="E1" s="54" t="inlineStr">
        <is>
          <t>製程6</t>
        </is>
      </c>
      <c r="F1" s="54" t="inlineStr">
        <is>
          <t>製程5(成品)</t>
        </is>
      </c>
      <c r="G1" s="54" t="inlineStr">
        <is>
          <t>研磨成品</t>
        </is>
      </c>
      <c r="H1" s="83" t="inlineStr">
        <is>
          <t>報廢品</t>
        </is>
      </c>
      <c r="I1" s="54" t="inlineStr">
        <is>
          <t>總數</t>
        </is>
      </c>
      <c r="J1" s="83" t="inlineStr">
        <is>
          <t>預扣件</t>
        </is>
      </c>
      <c r="K1" s="83" t="inlineStr">
        <is>
          <t>報廢品</t>
        </is>
      </c>
      <c r="M1" s="9" t="inlineStr">
        <is>
          <t>研-09-09</t>
        </is>
      </c>
      <c r="P1" s="9" t="inlineStr">
        <is>
          <t>已開單</t>
        </is>
      </c>
    </row>
    <row r="2">
      <c r="A2" s="83" t="n">
        <v>8817000571</v>
      </c>
      <c r="B2" s="72" t="inlineStr">
        <is>
          <t>AHC-X31</t>
        </is>
      </c>
      <c r="C2" s="83" t="n">
        <v>0</v>
      </c>
      <c r="D2" s="83" t="n"/>
      <c r="E2" s="83" t="n">
        <v>0</v>
      </c>
      <c r="F2" s="83" t="n">
        <v>0</v>
      </c>
      <c r="G2" s="83" t="n">
        <v>0</v>
      </c>
      <c r="H2" s="83" t="n"/>
      <c r="I2" s="83">
        <f>SUM(C2:H2)</f>
        <v/>
      </c>
      <c r="J2" s="61" t="n"/>
      <c r="K2" s="9" t="n"/>
      <c r="L2" s="9" t="inlineStr">
        <is>
          <t>5270L</t>
        </is>
      </c>
      <c r="M2" s="9" t="n"/>
      <c r="N2" s="72" t="inlineStr">
        <is>
          <t>AHC-X31</t>
        </is>
      </c>
      <c r="P2" s="9" t="n"/>
    </row>
    <row r="3">
      <c r="A3" s="83" t="n">
        <v>8817000566</v>
      </c>
      <c r="B3" s="72" t="inlineStr">
        <is>
          <t>AHC-X36</t>
        </is>
      </c>
      <c r="C3" s="83" t="n">
        <v>0</v>
      </c>
      <c r="D3" s="83" t="n"/>
      <c r="E3" s="83" t="n">
        <v>3</v>
      </c>
      <c r="F3" s="83" t="n">
        <v>0</v>
      </c>
      <c r="G3" s="83" t="n">
        <v>1</v>
      </c>
      <c r="H3" s="83" t="n"/>
      <c r="I3" s="84">
        <f>SUM(C3:G3)</f>
        <v/>
      </c>
      <c r="J3" s="62" t="n"/>
      <c r="K3" s="9" t="n"/>
      <c r="L3" s="9" t="inlineStr">
        <is>
          <t>5770L</t>
        </is>
      </c>
      <c r="M3" s="9" t="n">
        <v>1</v>
      </c>
      <c r="N3" s="72" t="inlineStr">
        <is>
          <t>AHC-X36</t>
        </is>
      </c>
      <c r="P3" s="9" t="n"/>
    </row>
    <row r="4">
      <c r="A4" s="83" t="n">
        <v>8817000581</v>
      </c>
      <c r="B4" s="72" t="inlineStr">
        <is>
          <t>AHC-X46</t>
        </is>
      </c>
      <c r="C4" s="83" t="n">
        <v>0</v>
      </c>
      <c r="D4" s="83" t="n"/>
      <c r="E4" s="83" t="n">
        <v>0</v>
      </c>
      <c r="F4" s="83" t="n">
        <v>0</v>
      </c>
      <c r="G4" s="83" t="n">
        <v>0</v>
      </c>
      <c r="H4" s="83" t="n"/>
      <c r="I4" s="84">
        <f>SUM(C4:H4)</f>
        <v/>
      </c>
      <c r="J4" s="62" t="n"/>
      <c r="K4" s="9" t="n"/>
      <c r="L4" s="9" t="inlineStr">
        <is>
          <t>6770L</t>
        </is>
      </c>
      <c r="N4" s="72" t="inlineStr">
        <is>
          <t>AHC-X46</t>
        </is>
      </c>
      <c r="P4" s="9" t="n"/>
    </row>
    <row r="5">
      <c r="A5" s="83" t="n">
        <v>8817000399</v>
      </c>
      <c r="B5" s="72" t="inlineStr">
        <is>
          <t>HEP2150</t>
        </is>
      </c>
      <c r="C5" s="83" t="n">
        <v>0</v>
      </c>
      <c r="D5" s="83" t="n"/>
      <c r="E5" s="83" t="n">
        <v>0</v>
      </c>
      <c r="F5" s="83" t="n">
        <v>0</v>
      </c>
      <c r="G5" s="83" t="n">
        <v>0</v>
      </c>
      <c r="H5" s="83" t="n"/>
      <c r="I5" s="83">
        <f>SUM(C5:G5)</f>
        <v/>
      </c>
      <c r="J5" s="61" t="n"/>
      <c r="K5" s="9" t="n"/>
      <c r="L5" s="9" t="n"/>
      <c r="M5" s="9" t="n"/>
      <c r="P5" s="9" t="n"/>
    </row>
    <row r="6">
      <c r="A6" s="83" t="n">
        <v>8817000551</v>
      </c>
      <c r="B6" s="72" t="inlineStr">
        <is>
          <t>HSA-X20</t>
        </is>
      </c>
      <c r="C6" s="83" t="n">
        <v>0</v>
      </c>
      <c r="D6" s="83" t="n"/>
      <c r="E6" s="83" t="n">
        <v>0</v>
      </c>
      <c r="F6" s="83" t="n">
        <v>0</v>
      </c>
      <c r="G6" s="83" t="n">
        <v>0</v>
      </c>
      <c r="H6" s="83" t="n"/>
      <c r="I6" s="84">
        <f>SUM(C6:G6)</f>
        <v/>
      </c>
      <c r="J6" s="63" t="n"/>
      <c r="K6" s="9" t="n"/>
      <c r="L6" s="9" t="inlineStr">
        <is>
          <t>3810L</t>
        </is>
      </c>
      <c r="M6" s="50" t="n">
        <v>1</v>
      </c>
      <c r="N6" s="72" t="inlineStr">
        <is>
          <t>HSA-X20</t>
        </is>
      </c>
      <c r="O6" s="53" t="inlineStr">
        <is>
          <t>12/10 庫存已扣</t>
        </is>
      </c>
      <c r="P6" s="9" t="n">
        <v>2</v>
      </c>
    </row>
    <row r="7">
      <c r="A7" s="83" t="n">
        <v>8817000552</v>
      </c>
      <c r="B7" s="72" t="inlineStr">
        <is>
          <t>HSA-X20EAY</t>
        </is>
      </c>
      <c r="C7" s="83" t="n">
        <v>0</v>
      </c>
      <c r="D7" s="83" t="n"/>
      <c r="E7" s="83" t="n">
        <v>0</v>
      </c>
      <c r="F7" s="83" t="n">
        <v>0</v>
      </c>
      <c r="G7" s="83" t="n">
        <v>0</v>
      </c>
      <c r="H7" s="83" t="n"/>
      <c r="I7" s="84">
        <f>SUM(C7:G7)</f>
        <v/>
      </c>
      <c r="J7" s="63" t="n"/>
      <c r="K7" s="9" t="n"/>
      <c r="L7" s="9" t="inlineStr">
        <is>
          <t>4150L</t>
        </is>
      </c>
      <c r="M7" s="9" t="n"/>
      <c r="N7" s="72" t="inlineStr">
        <is>
          <t>HSA-X20EAY</t>
        </is>
      </c>
      <c r="O7" s="53" t="n"/>
      <c r="P7" s="9" t="n">
        <v>2</v>
      </c>
    </row>
    <row r="8">
      <c r="A8" s="83" t="n">
        <v>8817000491</v>
      </c>
      <c r="B8" s="72" t="inlineStr">
        <is>
          <t>HSA-X23</t>
        </is>
      </c>
      <c r="C8" s="83" t="n">
        <v>0</v>
      </c>
      <c r="D8" s="83" t="n"/>
      <c r="E8" s="83" t="n">
        <v>0</v>
      </c>
      <c r="F8" s="83" t="n">
        <v>0</v>
      </c>
      <c r="G8" s="83" t="n">
        <v>4</v>
      </c>
      <c r="H8" s="83" t="n"/>
      <c r="I8" s="84">
        <f>SUM(C8:G8)</f>
        <v/>
      </c>
      <c r="J8" s="63" t="n"/>
      <c r="K8" s="45" t="n"/>
      <c r="L8" s="45" t="inlineStr">
        <is>
          <t>3960L</t>
        </is>
      </c>
      <c r="M8" s="8" t="n">
        <v>3</v>
      </c>
      <c r="N8" s="72" t="inlineStr">
        <is>
          <t>HSA-X23</t>
        </is>
      </c>
      <c r="O8" s="53" t="inlineStr">
        <is>
          <t>M6:16HR，M5:22HR</t>
        </is>
      </c>
      <c r="P8" s="61" t="n"/>
    </row>
    <row r="9">
      <c r="A9" s="83" t="n">
        <v>8817000517</v>
      </c>
      <c r="B9" s="54" t="inlineStr">
        <is>
          <t>HSA-X23EAY</t>
        </is>
      </c>
      <c r="C9" s="83" t="n">
        <v>0</v>
      </c>
      <c r="D9" s="83" t="n"/>
      <c r="E9" s="83" t="n">
        <v>0</v>
      </c>
      <c r="F9" s="83" t="n">
        <v>0</v>
      </c>
      <c r="G9" s="83" t="n">
        <v>1</v>
      </c>
      <c r="H9" s="83" t="n">
        <v>0</v>
      </c>
      <c r="I9" s="84" t="n">
        <v>1</v>
      </c>
      <c r="J9" s="63" t="n"/>
      <c r="K9" s="9" t="n"/>
      <c r="L9" s="12" t="inlineStr">
        <is>
          <t>4650L</t>
        </is>
      </c>
      <c r="M9" s="8" t="n">
        <v>3</v>
      </c>
      <c r="N9" s="54" t="inlineStr">
        <is>
          <t>HSA-X23EAY</t>
        </is>
      </c>
      <c r="O9" s="53" t="inlineStr">
        <is>
          <t>M6:18HR，M5:37HR</t>
        </is>
      </c>
    </row>
    <row r="10">
      <c r="A10" s="83" t="n">
        <v>8817000483</v>
      </c>
      <c r="B10" s="72" t="inlineStr">
        <is>
          <t>HSA-X27</t>
        </is>
      </c>
      <c r="C10" s="83" t="n">
        <v>0</v>
      </c>
      <c r="D10" s="83" t="n"/>
      <c r="E10" s="83" t="n">
        <v>0</v>
      </c>
      <c r="F10" s="83" t="n">
        <v>0</v>
      </c>
      <c r="G10" s="83" t="n">
        <v>6</v>
      </c>
      <c r="H10" s="83" t="n"/>
      <c r="I10" s="84">
        <f>SUM(C10:G10)</f>
        <v/>
      </c>
      <c r="J10" s="63" t="n">
        <v>0</v>
      </c>
      <c r="K10" s="9" t="n">
        <v>0</v>
      </c>
      <c r="L10" s="9" t="inlineStr">
        <is>
          <t>台典成品*1,4600L</t>
        </is>
      </c>
      <c r="M10" s="45" t="n">
        <v>6</v>
      </c>
      <c r="N10" s="72" t="inlineStr">
        <is>
          <t>HSA-X27</t>
        </is>
      </c>
      <c r="O10" s="53" t="n"/>
      <c r="P10" s="9" t="n"/>
    </row>
    <row r="11">
      <c r="A11" s="83" t="n">
        <v>8817000518</v>
      </c>
      <c r="B11" s="86" t="inlineStr">
        <is>
          <t>HSA-X27EAY</t>
        </is>
      </c>
      <c r="C11" s="85" t="n">
        <v>3</v>
      </c>
      <c r="D11" s="85" t="n"/>
      <c r="E11" s="85" t="n">
        <v>0</v>
      </c>
      <c r="F11" s="85" t="n">
        <v>1</v>
      </c>
      <c r="G11" s="85" t="n">
        <v>1</v>
      </c>
      <c r="H11" s="83" t="n"/>
      <c r="I11" s="84" t="n">
        <v>5</v>
      </c>
      <c r="J11" s="64" t="n"/>
      <c r="K11" s="44" t="n">
        <v>0</v>
      </c>
      <c r="L11" s="6" t="inlineStr">
        <is>
          <t>5150-5130</t>
        </is>
      </c>
      <c r="M11" s="43" t="n">
        <v>2</v>
      </c>
      <c r="N11" s="54" t="inlineStr">
        <is>
          <t>HSA-X27EAY</t>
        </is>
      </c>
      <c r="O11" s="10" t="inlineStr">
        <is>
          <t>M6-1*3 OK</t>
        </is>
      </c>
      <c r="P11" s="9" t="n"/>
    </row>
    <row r="12">
      <c r="A12" s="83" t="n">
        <v>8817000547</v>
      </c>
      <c r="B12" s="72" t="inlineStr">
        <is>
          <t>HSA-X32</t>
        </is>
      </c>
      <c r="C12" s="83" t="n">
        <v>0</v>
      </c>
      <c r="D12" s="83" t="n"/>
      <c r="E12" s="83" t="n">
        <v>0</v>
      </c>
      <c r="F12" s="83" t="n">
        <v>0</v>
      </c>
      <c r="G12" s="83" t="n">
        <v>2</v>
      </c>
      <c r="H12" s="83" t="n"/>
      <c r="I12" s="84">
        <f>SUM(C12:G12)</f>
        <v/>
      </c>
      <c r="J12" s="63" t="n"/>
      <c r="K12" s="9" t="n"/>
      <c r="L12" s="9" t="inlineStr">
        <is>
          <t>5050L</t>
        </is>
      </c>
      <c r="M12" s="50" t="n">
        <v>2</v>
      </c>
      <c r="N12" s="72" t="inlineStr">
        <is>
          <t>HSA-X32</t>
        </is>
      </c>
      <c r="O12" s="53" t="n"/>
      <c r="P12" s="9" t="n"/>
    </row>
    <row r="13">
      <c r="A13" s="83" t="n">
        <v>8817000548</v>
      </c>
      <c r="B13" s="72" t="inlineStr">
        <is>
          <t>HSA-X32EAY</t>
        </is>
      </c>
      <c r="C13" s="83" t="n">
        <v>0</v>
      </c>
      <c r="D13" s="83" t="n"/>
      <c r="E13" s="83" t="n">
        <v>0</v>
      </c>
      <c r="F13" s="83" t="n">
        <v>0</v>
      </c>
      <c r="G13" s="83" t="n">
        <v>0</v>
      </c>
      <c r="H13" s="83" t="n"/>
      <c r="I13" s="84">
        <f>SUM(C13:G13)</f>
        <v/>
      </c>
      <c r="J13" s="63" t="n"/>
      <c r="K13" s="9" t="n"/>
      <c r="L13" s="9" t="inlineStr">
        <is>
          <t>5600L</t>
        </is>
      </c>
      <c r="M13" s="9" t="n">
        <v>1</v>
      </c>
      <c r="N13" s="72" t="inlineStr">
        <is>
          <t>HSA-X32EAY</t>
        </is>
      </c>
      <c r="O13" s="53" t="n"/>
      <c r="P13" s="9" t="n"/>
    </row>
    <row r="14">
      <c r="A14" s="83" t="n">
        <v>8817000568</v>
      </c>
      <c r="B14" s="54" t="inlineStr">
        <is>
          <t>HSA-X36EAY</t>
        </is>
      </c>
      <c r="C14" s="83" t="n">
        <v>0</v>
      </c>
      <c r="D14" s="83" t="n"/>
      <c r="E14" s="83" t="n">
        <v>0</v>
      </c>
      <c r="F14" s="83" t="n">
        <v>0</v>
      </c>
      <c r="G14" s="83" t="n">
        <v>0</v>
      </c>
      <c r="H14" s="15" t="n"/>
      <c r="I14" s="84">
        <f>SUM(C14:G14)</f>
        <v/>
      </c>
      <c r="J14" s="63" t="n"/>
      <c r="K14" s="9" t="n"/>
      <c r="L14" s="9" t="inlineStr">
        <is>
          <t>5950L</t>
        </is>
      </c>
      <c r="M14" s="9" t="n"/>
      <c r="N14" s="54" t="inlineStr">
        <is>
          <t>HSA-X36EAY</t>
        </is>
      </c>
      <c r="O14" s="53" t="inlineStr">
        <is>
          <t>隆升借放*4-有入帳</t>
        </is>
      </c>
      <c r="P14" s="9" t="n">
        <v>1</v>
      </c>
    </row>
    <row r="15">
      <c r="A15" s="83" t="n">
        <v>8817000485</v>
      </c>
      <c r="B15" s="54" t="inlineStr">
        <is>
          <t>HSA-X36</t>
        </is>
      </c>
      <c r="C15" s="83" t="n">
        <v>0</v>
      </c>
      <c r="D15" s="83" t="n"/>
      <c r="E15" s="83" t="n">
        <v>0</v>
      </c>
      <c r="F15" s="83" t="n">
        <v>0</v>
      </c>
      <c r="G15" s="83" t="n">
        <v>5</v>
      </c>
      <c r="H15" s="83" t="n"/>
      <c r="I15" s="84">
        <f>SUM(C15:G15)</f>
        <v/>
      </c>
      <c r="J15" s="63" t="n"/>
      <c r="K15" s="9" t="inlineStr">
        <is>
          <t>`</t>
        </is>
      </c>
      <c r="L15" s="9" t="inlineStr">
        <is>
          <t>5600L</t>
        </is>
      </c>
      <c r="M15" s="9" t="n">
        <v>5</v>
      </c>
      <c r="N15" s="54" t="inlineStr">
        <is>
          <t>HSA-X36</t>
        </is>
      </c>
      <c r="O15" s="53" t="n"/>
      <c r="P15" s="9" t="n"/>
    </row>
    <row r="16">
      <c r="A16" s="83" t="n">
        <v>8817000635</v>
      </c>
      <c r="B16" s="54" t="inlineStr">
        <is>
          <t>TGV-106</t>
        </is>
      </c>
      <c r="C16" s="83" t="n">
        <v>0</v>
      </c>
      <c r="D16" s="83" t="n"/>
      <c r="E16" s="83" t="n">
        <v>0</v>
      </c>
      <c r="F16" s="83" t="n">
        <v>0</v>
      </c>
      <c r="G16" s="83" t="n">
        <v>0</v>
      </c>
      <c r="H16" s="83" t="n"/>
      <c r="I16" s="83">
        <f>SUM(C16:G16)</f>
        <v/>
      </c>
      <c r="J16" s="61" t="n"/>
      <c r="L16" s="53" t="n"/>
      <c r="M16" s="53" t="n"/>
      <c r="N16" s="53" t="n"/>
      <c r="O16" s="53" t="n"/>
      <c r="P16" s="53" t="n"/>
    </row>
    <row r="17">
      <c r="A17" s="83" t="n">
        <v>8817000441</v>
      </c>
      <c r="B17" s="54" t="inlineStr">
        <is>
          <t>HSA-X23_NEO</t>
        </is>
      </c>
      <c r="C17" s="83" t="n">
        <v>0</v>
      </c>
      <c r="D17" s="83" t="n">
        <v>0</v>
      </c>
      <c r="E17" s="83" t="n">
        <v>0</v>
      </c>
      <c r="F17" s="83" t="n">
        <v>0</v>
      </c>
      <c r="G17" s="83" t="n">
        <v>0</v>
      </c>
      <c r="H17" s="83" t="n"/>
      <c r="I17" s="83">
        <f>SUM(C17:G17)</f>
        <v/>
      </c>
      <c r="J17" s="61" t="n"/>
      <c r="L17" s="53" t="n"/>
      <c r="M17" s="53" t="n"/>
      <c r="N17" s="53" t="n"/>
      <c r="O17" s="53" t="n"/>
      <c r="P17" s="53" t="n"/>
    </row>
    <row r="18">
      <c r="A18" s="83" t="n">
        <v>8817000650</v>
      </c>
      <c r="B18" s="54" t="inlineStr">
        <is>
          <t>HSA-X20_NEO</t>
        </is>
      </c>
      <c r="C18" s="83" t="n">
        <v>0</v>
      </c>
      <c r="D18" s="83" t="n">
        <v>0</v>
      </c>
      <c r="E18" s="83" t="n">
        <v>0</v>
      </c>
      <c r="F18" s="83" t="n">
        <v>0</v>
      </c>
      <c r="G18" s="83" t="n">
        <v>0</v>
      </c>
      <c r="H18" s="54" t="n"/>
      <c r="I18" s="83">
        <f>SUM(C18:G18)</f>
        <v/>
      </c>
      <c r="J18" s="61" t="n"/>
      <c r="L18" s="53" t="n"/>
      <c r="M18" s="53" t="n"/>
      <c r="N18" s="53" t="n"/>
      <c r="O18" s="53" t="n"/>
      <c r="P18" s="53" t="n"/>
    </row>
    <row r="19">
      <c r="A19" s="83" t="n"/>
      <c r="B19" s="54" t="n"/>
      <c r="C19" s="54" t="n"/>
      <c r="D19" s="54" t="n"/>
      <c r="E19" s="54" t="n"/>
      <c r="F19" s="54" t="n"/>
      <c r="G19" s="54" t="n"/>
      <c r="H19" s="54" t="n"/>
      <c r="I19" s="54" t="n"/>
      <c r="J19" s="53" t="n"/>
    </row>
    <row r="20">
      <c r="A20" s="83" t="n"/>
      <c r="B20" s="54" t="n"/>
      <c r="C20" s="54" t="n"/>
      <c r="D20" s="54" t="n"/>
      <c r="E20" s="54" t="n"/>
      <c r="F20" s="54" t="n"/>
      <c r="G20" s="54" t="n"/>
      <c r="H20" s="54" t="n"/>
      <c r="I20" s="54" t="n"/>
      <c r="J20" s="53" t="n"/>
    </row>
    <row r="21">
      <c r="A21" s="83" t="n"/>
      <c r="B21" s="54" t="n"/>
      <c r="C21" s="54" t="n"/>
      <c r="D21" s="54" t="n"/>
      <c r="E21" s="54" t="n"/>
      <c r="F21" s="54" t="n"/>
      <c r="G21" s="54" t="n"/>
      <c r="H21" s="54" t="n"/>
      <c r="I21" s="54" t="n"/>
      <c r="J21" s="53" t="n"/>
    </row>
    <row r="22">
      <c r="A22" s="83" t="n"/>
      <c r="B22" s="54" t="n"/>
      <c r="C22" s="54" t="n"/>
      <c r="D22" s="54" t="n"/>
      <c r="E22" s="54" t="n"/>
      <c r="F22" s="54" t="n"/>
      <c r="G22" s="54" t="n"/>
      <c r="H22" s="54" t="n"/>
      <c r="I22" s="54" t="n"/>
      <c r="J22" s="53" t="n"/>
    </row>
    <row r="23">
      <c r="A23" s="83" t="n"/>
      <c r="B23" s="54" t="n"/>
      <c r="C23" s="54" t="n"/>
      <c r="D23" s="54" t="n"/>
      <c r="E23" s="54" t="n"/>
      <c r="F23" s="54" t="n"/>
      <c r="G23" s="54" t="n"/>
      <c r="H23" s="54" t="n"/>
      <c r="I23" s="54" t="n"/>
      <c r="J23" s="53" t="n"/>
    </row>
    <row r="24">
      <c r="A24" s="87" t="n"/>
      <c r="B24" s="87" t="n"/>
      <c r="C24" s="87" t="n"/>
      <c r="D24" s="87" t="n"/>
      <c r="E24" s="87" t="n"/>
      <c r="F24" s="87" t="n"/>
      <c r="G24" s="87" t="n"/>
      <c r="H24" s="87" t="n"/>
      <c r="I24" s="87" t="n"/>
      <c r="J24" s="53" t="n"/>
    </row>
    <row r="25">
      <c r="A25" s="53" t="n"/>
      <c r="B25" s="53" t="n"/>
      <c r="C25" s="53" t="n"/>
      <c r="D25" s="53" t="n"/>
      <c r="E25" s="53" t="n"/>
      <c r="F25" s="53" t="n"/>
      <c r="G25" s="53" t="n"/>
      <c r="H25" s="53" t="n"/>
      <c r="I25" s="53" t="n"/>
      <c r="J25" s="53" t="n"/>
    </row>
    <row r="26">
      <c r="A26" s="53" t="n"/>
      <c r="B26" s="53" t="n"/>
      <c r="C26" s="53" t="n"/>
      <c r="D26" s="53" t="n"/>
      <c r="E26" s="53" t="n"/>
      <c r="F26" s="53" t="n"/>
      <c r="G26" s="53" t="n"/>
      <c r="H26" s="53" t="n"/>
      <c r="I26" s="53" t="n"/>
      <c r="J26" s="53" t="n"/>
    </row>
  </sheetData>
  <pageMargins left="0.75" right="0.75" top="1" bottom="1" header="0.5" footer="0.5"/>
  <pageSetup orientation="portrait" paperSize="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A1" s="111" t="inlineStr">
        <is>
          <t>品號</t>
        </is>
      </c>
      <c r="B1" s="111" t="inlineStr">
        <is>
          <t>機型</t>
        </is>
      </c>
      <c r="C1" s="111" t="inlineStr">
        <is>
          <t>素材</t>
        </is>
      </c>
      <c r="D1" s="111" t="inlineStr">
        <is>
          <t>半成品</t>
        </is>
      </c>
      <c r="E1" s="111" t="inlineStr">
        <is>
          <t>成品(銑)</t>
        </is>
      </c>
      <c r="F1" s="111" t="inlineStr">
        <is>
          <t>成品(研)</t>
        </is>
      </c>
      <c r="G1" s="111" t="inlineStr">
        <is>
          <t>總數</t>
        </is>
      </c>
      <c r="H1" s="111" t="inlineStr">
        <is>
          <t>報廢</t>
        </is>
      </c>
      <c r="I1" s="111" t="inlineStr">
        <is>
          <t>Unnamed: 8</t>
        </is>
      </c>
      <c r="J1" s="111" t="inlineStr">
        <is>
          <t>Unnamed: 9</t>
        </is>
      </c>
      <c r="K1" s="111" t="inlineStr">
        <is>
          <t>Unnamed: 10</t>
        </is>
      </c>
      <c r="L1" s="111" t="inlineStr">
        <is>
          <t>Unnamed: 11</t>
        </is>
      </c>
      <c r="M1" s="111" t="inlineStr">
        <is>
          <t>Unnamed: 12</t>
        </is>
      </c>
    </row>
    <row r="2">
      <c r="A2" s="53" t="n">
        <v>8811001091</v>
      </c>
      <c r="B2" s="53" t="inlineStr">
        <is>
          <t>LG-800</t>
        </is>
      </c>
      <c r="C2" s="53" t="n">
        <v>8</v>
      </c>
      <c r="D2" s="53" t="n">
        <v>0</v>
      </c>
      <c r="E2" s="53" t="n">
        <v>0</v>
      </c>
      <c r="F2" s="53" t="n">
        <v>0</v>
      </c>
      <c r="G2" s="53" t="n">
        <v>8</v>
      </c>
      <c r="H2" s="53" t="inlineStr"/>
      <c r="I2" s="53" t="inlineStr"/>
      <c r="J2" s="53" t="inlineStr"/>
      <c r="K2" s="53" t="inlineStr"/>
      <c r="L2" s="53" t="inlineStr"/>
      <c r="M2" s="53" t="inlineStr"/>
    </row>
    <row r="3">
      <c r="A3" s="53" t="n">
        <v>8811001273</v>
      </c>
      <c r="B3" s="53" t="inlineStr">
        <is>
          <t>LG-1370</t>
        </is>
      </c>
      <c r="C3" s="53" t="n">
        <v>0</v>
      </c>
      <c r="D3" s="53" t="n">
        <v>0</v>
      </c>
      <c r="E3" s="53" t="n">
        <v>0</v>
      </c>
      <c r="F3" s="53" t="n">
        <v>0</v>
      </c>
      <c r="G3" s="53" t="inlineStr"/>
      <c r="H3" s="53" t="inlineStr"/>
      <c r="I3" s="53" t="inlineStr"/>
      <c r="J3" s="53" t="inlineStr"/>
      <c r="K3" s="53" t="inlineStr"/>
      <c r="L3" s="53" t="inlineStr"/>
      <c r="M3" s="53" t="inlineStr"/>
    </row>
    <row r="4">
      <c r="A4" s="53" t="n">
        <v>8811001013</v>
      </c>
      <c r="B4" s="53" t="inlineStr">
        <is>
          <t>MVP-860</t>
        </is>
      </c>
      <c r="C4" s="53" t="inlineStr"/>
      <c r="D4" s="53" t="inlineStr"/>
      <c r="E4" s="53" t="inlineStr"/>
      <c r="F4" s="53" t="n">
        <v>0</v>
      </c>
      <c r="G4" s="53" t="inlineStr"/>
      <c r="H4" s="53" t="inlineStr"/>
      <c r="I4" s="53" t="inlineStr"/>
      <c r="J4" s="53" t="inlineStr"/>
      <c r="K4" s="53" t="inlineStr"/>
      <c r="L4" s="53" t="inlineStr"/>
      <c r="M4" s="53" t="inlineStr"/>
    </row>
    <row r="5">
      <c r="A5" s="53" t="n">
        <v>8811001393</v>
      </c>
      <c r="B5" s="53" t="inlineStr">
        <is>
          <t>MVP-11</t>
        </is>
      </c>
      <c r="C5" s="53" t="n">
        <v>0</v>
      </c>
      <c r="D5" s="53" t="n">
        <v>4</v>
      </c>
      <c r="E5" s="53" t="n">
        <v>0</v>
      </c>
      <c r="F5" s="53" t="n">
        <v>0</v>
      </c>
      <c r="G5" s="53" t="n">
        <v>4</v>
      </c>
      <c r="H5" s="53" t="inlineStr"/>
      <c r="I5" s="53" t="inlineStr"/>
      <c r="J5" s="53" t="inlineStr"/>
      <c r="K5" s="53" t="inlineStr"/>
      <c r="L5" s="53" t="inlineStr"/>
      <c r="M5" s="53" t="inlineStr"/>
    </row>
    <row r="6">
      <c r="A6" s="53" t="n">
        <v>8811001536</v>
      </c>
      <c r="B6" s="53" t="inlineStr">
        <is>
          <t>A10</t>
        </is>
      </c>
      <c r="C6" s="53" t="n">
        <v>0</v>
      </c>
      <c r="D6" s="53" t="n">
        <v>0</v>
      </c>
      <c r="E6" s="53" t="n">
        <v>0</v>
      </c>
      <c r="F6" s="53" t="n">
        <v>0</v>
      </c>
      <c r="G6" s="53" t="inlineStr"/>
      <c r="H6" s="53" t="inlineStr"/>
      <c r="I6" s="53" t="inlineStr"/>
      <c r="J6" s="53" t="inlineStr"/>
      <c r="K6" s="53" t="inlineStr"/>
      <c r="L6" s="53" t="inlineStr"/>
      <c r="M6" s="53" t="inlineStr"/>
    </row>
    <row r="7">
      <c r="A7" s="53" t="n">
        <v>8811001338</v>
      </c>
      <c r="B7" s="53" t="inlineStr">
        <is>
          <t>S-PLUS</t>
        </is>
      </c>
      <c r="C7" s="53" t="n">
        <v>0</v>
      </c>
      <c r="D7" s="53" t="n">
        <v>0</v>
      </c>
      <c r="E7" s="53" t="inlineStr"/>
      <c r="F7" s="53" t="n">
        <v>0</v>
      </c>
      <c r="G7" s="53" t="inlineStr"/>
      <c r="H7" s="53" t="inlineStr"/>
      <c r="I7" s="53" t="inlineStr"/>
      <c r="J7" s="53" t="inlineStr"/>
      <c r="K7" s="53" t="inlineStr"/>
      <c r="L7" s="53" t="inlineStr"/>
      <c r="M7" s="53" t="inlineStr"/>
    </row>
    <row r="8">
      <c r="A8" s="53" t="n">
        <v>8811001526</v>
      </c>
      <c r="B8" s="53" t="inlineStr">
        <is>
          <t>S8</t>
        </is>
      </c>
      <c r="C8" s="53" t="n">
        <v>0</v>
      </c>
      <c r="D8" s="53" t="n">
        <v>0</v>
      </c>
      <c r="E8" s="53" t="n">
        <v>0</v>
      </c>
      <c r="F8" s="53" t="n">
        <v>0</v>
      </c>
      <c r="G8" s="53" t="n">
        <v>0</v>
      </c>
      <c r="H8" s="53" t="inlineStr"/>
      <c r="I8" s="53" t="inlineStr"/>
      <c r="J8" s="53" t="inlineStr"/>
      <c r="K8" s="53" t="inlineStr"/>
      <c r="L8" s="53" t="inlineStr"/>
      <c r="M8" s="53" t="inlineStr"/>
    </row>
    <row r="9">
      <c r="A9" s="53" t="n">
        <v>8811001616</v>
      </c>
      <c r="B9" s="53" t="inlineStr">
        <is>
          <t>LG-1370_NEO</t>
        </is>
      </c>
      <c r="C9" s="53" t="n">
        <v>0</v>
      </c>
      <c r="D9" s="53" t="n">
        <v>0</v>
      </c>
      <c r="E9" s="53" t="n">
        <v>0</v>
      </c>
      <c r="F9" s="53" t="n">
        <v>3</v>
      </c>
      <c r="G9" s="53" t="n">
        <v>3</v>
      </c>
      <c r="H9" s="53" t="n">
        <v>0</v>
      </c>
      <c r="I9" s="53" t="inlineStr"/>
      <c r="J9" s="53" t="inlineStr"/>
      <c r="K9" s="53" t="inlineStr">
        <is>
          <t>M1:14.5HR</t>
        </is>
      </c>
      <c r="L9" s="53" t="inlineStr">
        <is>
          <t>M2:7.5HR</t>
        </is>
      </c>
      <c r="M9" s="53" t="inlineStr">
        <is>
          <t>M7:2.HR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showRuler="0" workbookViewId="0">
      <selection activeCell="D4" sqref="D4"/>
    </sheetView>
  </sheetViews>
  <sheetFormatPr baseColWidth="8" defaultRowHeight="16.5"/>
  <cols>
    <col width="13" customWidth="1" style="90" min="2" max="2"/>
    <col width="22" customWidth="1" style="90" min="3" max="4"/>
  </cols>
  <sheetData>
    <row r="1">
      <c r="A1" s="54" t="inlineStr">
        <is>
          <t>項次</t>
        </is>
      </c>
      <c r="B1" s="54" t="inlineStr">
        <is>
          <t>機型</t>
        </is>
      </c>
      <c r="C1" s="54" t="inlineStr">
        <is>
          <t>素材</t>
        </is>
      </c>
      <c r="D1" s="4" t="inlineStr">
        <is>
          <t>半成品</t>
        </is>
      </c>
      <c r="E1" s="4" t="inlineStr">
        <is>
          <t>成品</t>
        </is>
      </c>
      <c r="F1" s="54" t="inlineStr">
        <is>
          <t>總數</t>
        </is>
      </c>
    </row>
    <row r="2">
      <c r="A2" s="53" t="n">
        <v>1</v>
      </c>
      <c r="B2" s="72" t="inlineStr">
        <is>
          <t>PRO-1000</t>
        </is>
      </c>
      <c r="D2" s="53" t="n">
        <v>0</v>
      </c>
      <c r="E2" s="53" t="n">
        <v>0</v>
      </c>
      <c r="F2" s="7">
        <f>C2+D2+E2</f>
        <v/>
      </c>
    </row>
    <row r="3">
      <c r="A3" s="53" t="n">
        <v>2</v>
      </c>
      <c r="B3" s="72" t="inlineStr">
        <is>
          <t>HCMC-1270</t>
        </is>
      </c>
      <c r="C3" s="53" t="n"/>
      <c r="D3" s="53" t="n">
        <v>0</v>
      </c>
      <c r="E3" s="53" t="n">
        <v>0</v>
      </c>
      <c r="F3" s="7">
        <f>C3+D3+E3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"/>
  <sheetViews>
    <sheetView showRuler="0" workbookViewId="0">
      <selection activeCell="D5" sqref="D5"/>
    </sheetView>
  </sheetViews>
  <sheetFormatPr baseColWidth="8" defaultRowHeight="16.5"/>
  <cols>
    <col width="14.75" customWidth="1" style="90" min="2" max="2"/>
  </cols>
  <sheetData>
    <row r="1">
      <c r="A1" s="54" t="inlineStr">
        <is>
          <t>項次</t>
        </is>
      </c>
      <c r="B1" s="54" t="inlineStr">
        <is>
          <t>機型</t>
        </is>
      </c>
      <c r="C1" s="54" t="inlineStr">
        <is>
          <t>素材</t>
        </is>
      </c>
      <c r="D1" s="54" t="inlineStr">
        <is>
          <t>成品</t>
        </is>
      </c>
      <c r="E1" s="54" t="inlineStr">
        <is>
          <t>總數</t>
        </is>
      </c>
    </row>
    <row r="2">
      <c r="A2" s="54" t="n">
        <v>1</v>
      </c>
      <c r="B2" s="72" t="inlineStr">
        <is>
          <t>DW</t>
        </is>
      </c>
      <c r="C2" s="54" t="n"/>
      <c r="D2" s="54" t="n"/>
      <c r="E2" s="54" t="n">
        <v>0</v>
      </c>
    </row>
    <row r="3">
      <c r="A3" s="54" t="n"/>
      <c r="B3" s="72" t="n"/>
      <c r="C3" s="54" t="n"/>
      <c r="D3" s="54" t="n"/>
      <c r="E3" s="54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"/>
  <sheetViews>
    <sheetView showRuler="0" workbookViewId="0">
      <selection activeCell="E13" sqref="E13:E14"/>
    </sheetView>
  </sheetViews>
  <sheetFormatPr baseColWidth="8" defaultRowHeight="16.5"/>
  <cols>
    <col width="14.75" customWidth="1" style="90" min="2" max="2"/>
  </cols>
  <sheetData>
    <row r="1">
      <c r="A1" s="54" t="inlineStr">
        <is>
          <t>項次</t>
        </is>
      </c>
      <c r="B1" s="54" t="inlineStr">
        <is>
          <t>機型</t>
        </is>
      </c>
      <c r="C1" s="54" t="inlineStr">
        <is>
          <t>素材</t>
        </is>
      </c>
      <c r="D1" s="4" t="inlineStr">
        <is>
          <t>成品</t>
        </is>
      </c>
      <c r="E1" s="54" t="inlineStr">
        <is>
          <t>總數</t>
        </is>
      </c>
    </row>
    <row r="2">
      <c r="A2" s="53" t="n">
        <v>1</v>
      </c>
      <c r="B2" s="51" t="inlineStr">
        <is>
          <t>VW-X340</t>
        </is>
      </c>
      <c r="C2" s="53" t="n">
        <v>1</v>
      </c>
      <c r="E2" s="7" t="n">
        <v>1</v>
      </c>
    </row>
    <row r="3">
      <c r="B3" s="7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2"/>
  <sheetViews>
    <sheetView showRuler="0" workbookViewId="0">
      <selection activeCell="B7" sqref="B7"/>
    </sheetView>
  </sheetViews>
  <sheetFormatPr baseColWidth="8" defaultRowHeight="16.5"/>
  <cols>
    <col width="17.125" customWidth="1" style="90" min="1" max="1"/>
    <col width="45.375" customWidth="1" style="90" min="3" max="3"/>
    <col width="13.375" customWidth="1" style="90" min="4" max="4"/>
  </cols>
  <sheetData>
    <row r="1" ht="32.1" customHeight="1" s="90" thickBot="1" thickTop="1">
      <c r="A1" s="16" t="inlineStr">
        <is>
          <t>機型</t>
        </is>
      </c>
      <c r="B1" s="17" t="inlineStr">
        <is>
          <t>數量</t>
        </is>
      </c>
      <c r="C1" s="18" t="inlineStr">
        <is>
          <t>報廢原因</t>
        </is>
      </c>
      <c r="D1" s="26" t="inlineStr">
        <is>
          <t xml:space="preserve">廠商 </t>
        </is>
      </c>
    </row>
    <row r="2" ht="25.15" customHeight="1" s="90" thickBot="1">
      <c r="A2" s="19" t="inlineStr">
        <is>
          <t>HEP-2150工作台</t>
        </is>
      </c>
      <c r="B2" s="20" t="n">
        <v>0</v>
      </c>
      <c r="C2" s="25" t="inlineStr">
        <is>
          <t>加工溝寬錯誤*1(W2)(加工問題)</t>
        </is>
      </c>
      <c r="D2" s="29" t="inlineStr">
        <is>
          <t>楊鋼</t>
        </is>
      </c>
    </row>
    <row r="3" ht="25.15" customHeight="1" s="90" thickBot="1">
      <c r="A3" s="19" t="inlineStr">
        <is>
          <t>HSA-420工作台</t>
        </is>
      </c>
      <c r="B3" s="20" t="n">
        <v>0</v>
      </c>
      <c r="C3" s="25" t="inlineStr">
        <is>
          <t>NG*1(W5螺姆座Y軸錯誤)(成品)(加工問題)</t>
        </is>
      </c>
      <c r="D3" s="29" t="inlineStr">
        <is>
          <t>永棧</t>
        </is>
      </c>
    </row>
    <row r="4" ht="25.15" customHeight="1" s="90" thickBot="1">
      <c r="A4" s="19" t="inlineStr">
        <is>
          <t>SW-426工作台</t>
        </is>
      </c>
      <c r="B4" s="20" t="n">
        <v>0</v>
      </c>
      <c r="C4" s="25" t="inlineStr">
        <is>
          <t>NG*1-W2(加工問題)</t>
        </is>
      </c>
      <c r="D4" s="29" t="inlineStr">
        <is>
          <t>永棧</t>
        </is>
      </c>
    </row>
    <row r="5" ht="25.15" customHeight="1" s="90" thickBot="1">
      <c r="A5" s="19" t="inlineStr">
        <is>
          <t>HB-3190工作台</t>
        </is>
      </c>
      <c r="B5" s="20" t="n">
        <v>0</v>
      </c>
      <c r="C5" s="25" t="inlineStr">
        <is>
          <t>舊鑄件</t>
        </is>
      </c>
      <c r="D5" s="29" t="inlineStr">
        <is>
          <t>永棧</t>
        </is>
      </c>
    </row>
    <row r="6" ht="25.15" customHeight="1" s="90" thickBot="1">
      <c r="A6" s="19" t="inlineStr">
        <is>
          <t>HEP-2150橫樑</t>
        </is>
      </c>
      <c r="B6" s="20" t="n">
        <v>0</v>
      </c>
      <c r="C6" s="25" t="inlineStr">
        <is>
          <t>NG*1(加工問題)</t>
        </is>
      </c>
      <c r="D6" s="29" t="inlineStr">
        <is>
          <t>永棧</t>
        </is>
      </c>
    </row>
    <row r="7" ht="25.15" customHeight="1" s="90" thickBot="1">
      <c r="A7" s="19" t="n"/>
      <c r="B7" s="20" t="n"/>
      <c r="C7" s="21" t="n"/>
      <c r="D7" s="27" t="n"/>
    </row>
    <row r="8" ht="25.15" customHeight="1" s="90" thickBot="1">
      <c r="A8" s="19" t="n"/>
      <c r="B8" s="20" t="n"/>
      <c r="C8" s="21" t="n"/>
      <c r="D8" s="27" t="n"/>
    </row>
    <row r="9" ht="25.15" customHeight="1" s="90" thickBot="1">
      <c r="A9" s="19" t="n"/>
      <c r="B9" s="20" t="n"/>
      <c r="C9" s="21" t="n"/>
      <c r="D9" s="27" t="n"/>
    </row>
    <row r="10" ht="25.15" customHeight="1" s="90" thickBot="1">
      <c r="A10" s="19" t="n"/>
      <c r="B10" s="20" t="n"/>
      <c r="C10" s="21" t="n"/>
      <c r="D10" s="27" t="n"/>
    </row>
    <row r="11" ht="25.15" customHeight="1" s="90" thickBot="1">
      <c r="A11" s="19" t="n"/>
      <c r="B11" s="20" t="n"/>
      <c r="C11" s="21" t="n"/>
      <c r="D11" s="27" t="n"/>
    </row>
    <row r="12" ht="25.15" customHeight="1" s="90" thickBot="1">
      <c r="A12" s="19" t="n"/>
      <c r="B12" s="20" t="n"/>
      <c r="C12" s="21" t="n"/>
      <c r="D12" s="27" t="n"/>
    </row>
    <row r="13" ht="25.15" customHeight="1" s="90" thickBot="1">
      <c r="A13" s="19" t="n"/>
      <c r="B13" s="20" t="n"/>
      <c r="C13" s="21" t="n"/>
      <c r="D13" s="27" t="n"/>
    </row>
    <row r="14" ht="25.15" customHeight="1" s="90" thickBot="1">
      <c r="A14" s="19" t="n"/>
      <c r="B14" s="20" t="n"/>
      <c r="C14" s="21" t="n"/>
      <c r="D14" s="27" t="n"/>
    </row>
    <row r="15" ht="25.15" customHeight="1" s="90" thickBot="1">
      <c r="A15" s="19" t="n"/>
      <c r="B15" s="20" t="n"/>
      <c r="C15" s="21" t="n"/>
      <c r="D15" s="27" t="n"/>
    </row>
    <row r="16" ht="25.15" customHeight="1" s="90" thickBot="1">
      <c r="A16" s="19" t="n"/>
      <c r="B16" s="20" t="n"/>
      <c r="C16" s="21" t="n"/>
      <c r="D16" s="27" t="n"/>
    </row>
    <row r="17" ht="25.15" customHeight="1" s="90" thickBot="1">
      <c r="A17" s="19" t="n"/>
      <c r="B17" s="20" t="n"/>
      <c r="C17" s="21" t="n"/>
      <c r="D17" s="27" t="n"/>
    </row>
    <row r="18" ht="25.15" customHeight="1" s="90" thickBot="1">
      <c r="A18" s="19" t="n"/>
      <c r="B18" s="20" t="n"/>
      <c r="C18" s="21" t="n"/>
      <c r="D18" s="27" t="n"/>
    </row>
    <row r="19" ht="25.15" customHeight="1" s="90" thickBot="1">
      <c r="A19" s="19" t="n"/>
      <c r="B19" s="20" t="n"/>
      <c r="C19" s="21" t="n"/>
      <c r="D19" s="27" t="n"/>
    </row>
    <row r="20" ht="25.15" customHeight="1" s="90" thickBot="1">
      <c r="A20" s="19" t="n"/>
      <c r="B20" s="20" t="n"/>
      <c r="C20" s="21" t="n"/>
      <c r="D20" s="27" t="n"/>
    </row>
    <row r="21" ht="25.15" customHeight="1" s="90" thickBot="1">
      <c r="A21" s="19" t="n"/>
      <c r="B21" s="20" t="n"/>
      <c r="C21" s="21" t="n"/>
      <c r="D21" s="27" t="n"/>
    </row>
    <row r="22" ht="25.15" customHeight="1" s="90" thickBot="1">
      <c r="A22" s="22" t="n"/>
      <c r="B22" s="23" t="n"/>
      <c r="C22" s="24" t="n"/>
      <c r="D22" s="28" t="n"/>
    </row>
    <row r="23" ht="17.25" customHeight="1" s="90" thickTop="1"/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WinXP</dc:creator>
  <dcterms:created xsi:type="dcterms:W3CDTF">2010-07-23T09:41:49Z</dcterms:created>
  <dcterms:modified xsi:type="dcterms:W3CDTF">2026-03-03T15:45:11Z</dcterms:modified>
  <cp:lastModifiedBy>hsinwei(張新偉)</cp:lastModifiedBy>
  <cp:lastPrinted>2021-12-24T07:14:26Z</cp:lastPrinted>
</cp:coreProperties>
</file>