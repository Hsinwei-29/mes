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0" windowWidth="28800" windowHeight="13590" tabRatio="601" firstSheet="0" activeTab="2" autoFilterDateGrouping="1"/>
  </bookViews>
  <sheets>
    <sheet name="總數" sheetId="1" state="visible" r:id="rId1"/>
    <sheet name="底座" sheetId="2" state="visible" r:id="rId2"/>
    <sheet name="工作台" sheetId="3" state="visible" r:id="rId3"/>
    <sheet name="橫樑" sheetId="4" state="visible" r:id="rId4"/>
    <sheet name="立柱" sheetId="5" state="visible" r:id="rId5"/>
    <sheet name="機頭" sheetId="6" state="visible" r:id="rId6"/>
    <sheet name="橫樑滑座" sheetId="7" state="visible" r:id="rId7"/>
    <sheet name="定樑" sheetId="8" state="visible" r:id="rId8"/>
    <sheet name="報廢鑄件" sheetId="9" state="visible" r:id="rId9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_ "/>
  </numFmts>
  <fonts count="20">
    <font>
      <name val="新細明體"/>
      <charset val="136"/>
      <family val="1"/>
      <sz val="12"/>
    </font>
    <font>
      <name val="新細明體"/>
      <charset val="136"/>
      <family val="1"/>
      <sz val="12"/>
    </font>
    <font>
      <name val="新細明體"/>
      <charset val="136"/>
      <family val="1"/>
      <sz val="9"/>
    </font>
    <font>
      <name val="新細明體"/>
      <charset val="136"/>
      <family val="1"/>
      <color indexed="10"/>
      <sz val="12"/>
    </font>
    <font>
      <name val="新細明體"/>
      <charset val="136"/>
      <family val="1"/>
      <b val="1"/>
      <sz val="12"/>
    </font>
    <font>
      <name val="新細明體"/>
      <charset val="136"/>
      <family val="1"/>
      <color indexed="10"/>
      <sz val="12"/>
    </font>
    <font>
      <name val="新細明體"/>
      <charset val="136"/>
      <family val="1"/>
      <color indexed="12"/>
      <sz val="12"/>
    </font>
    <font>
      <name val="新細明體"/>
      <charset val="136"/>
      <family val="1"/>
      <color indexed="40"/>
      <sz val="12"/>
    </font>
    <font>
      <name val="新細明體"/>
      <charset val="136"/>
      <family val="1"/>
      <color indexed="61"/>
      <sz val="12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新細明體"/>
      <charset val="136"/>
      <family val="1"/>
      <color rgb="FFFF0000"/>
      <sz val="12"/>
    </font>
    <font>
      <name val="新細明體"/>
      <charset val="136"/>
      <family val="1"/>
      <color theme="1"/>
      <sz val="12"/>
    </font>
    <font>
      <name val="細明體"/>
      <charset val="136"/>
      <family val="3"/>
      <color indexed="81"/>
      <sz val="9"/>
    </font>
    <font>
      <name val="細明體"/>
      <charset val="136"/>
      <family val="3"/>
      <b val="1"/>
      <color indexed="81"/>
      <sz val="9"/>
    </font>
    <font>
      <name val="Tahoma"/>
      <family val="2"/>
      <color indexed="81"/>
      <sz val="12"/>
    </font>
    <font>
      <name val="Tahoma"/>
      <family val="2"/>
      <b val="1"/>
      <color indexed="81"/>
      <sz val="12"/>
    </font>
    <font>
      <name val="細明體"/>
      <charset val="136"/>
      <family val="3"/>
      <color indexed="81"/>
      <sz val="12"/>
    </font>
    <font>
      <name val="新細明體"/>
      <charset val="136"/>
      <family val="1"/>
      <color indexed="8"/>
      <sz val="12"/>
    </font>
    <font>
      <name val="細明體"/>
      <charset val="136"/>
      <family val="3"/>
      <color indexed="8"/>
      <sz val="12"/>
    </font>
  </fonts>
  <fills count="13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1" fillId="0" borderId="0" applyAlignment="1">
      <alignment vertical="center"/>
    </xf>
  </cellStyleXfs>
  <cellXfs count="141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/>
    </xf>
    <xf numFmtId="0" fontId="0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left" vertical="center"/>
    </xf>
    <xf numFmtId="164" fontId="0" fillId="2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164" fontId="0" fillId="2" borderId="0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  <xf numFmtId="164" fontId="0" fillId="2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5" fontId="1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vertical="center"/>
    </xf>
    <xf numFmtId="164" fontId="0" fillId="2" borderId="4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0" fillId="3" borderId="3" applyAlignment="1" pivotButton="0" quotePrefix="0" xfId="0">
      <alignment horizontal="center" vertical="center"/>
    </xf>
    <xf numFmtId="0" fontId="0" fillId="3" borderId="0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0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0" fillId="0" borderId="3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vertical="center"/>
    </xf>
    <xf numFmtId="164" fontId="5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6" borderId="4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0" borderId="3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/>
    </xf>
    <xf numFmtId="0" fontId="11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8" borderId="3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0" fontId="4" fillId="8" borderId="5" applyAlignment="1" pivotButton="0" quotePrefix="0" xfId="0">
      <alignment horizontal="center" vertical="center"/>
    </xf>
    <xf numFmtId="0" fontId="0" fillId="8" borderId="0" applyAlignment="1" pivotButton="0" quotePrefix="0" xfId="0">
      <alignment vertical="center"/>
    </xf>
    <xf numFmtId="0" fontId="0" fillId="9" borderId="3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0" borderId="5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0" fillId="11" borderId="1" applyAlignment="1" pivotButton="0" quotePrefix="0" xfId="0">
      <alignment horizontal="left" vertical="center"/>
    </xf>
    <xf numFmtId="0" fontId="0" fillId="11" borderId="5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2" borderId="1" applyAlignment="1" pivotButton="0" quotePrefix="0" xfId="0">
      <alignment horizontal="left" vertical="center"/>
    </xf>
    <xf numFmtId="0" fontId="18" fillId="8" borderId="1" applyAlignment="1" pivotButton="0" quotePrefix="0" xfId="0">
      <alignment horizontal="center"/>
    </xf>
    <xf numFmtId="0" fontId="19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8" borderId="0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0" fillId="0" borderId="0" pivotButton="0" quotePrefix="0" xfId="0"/>
    <xf numFmtId="164" fontId="0" fillId="2" borderId="0" applyAlignment="1" pivotButton="0" quotePrefix="0" xfId="0">
      <alignment vertical="center"/>
    </xf>
    <xf numFmtId="164" fontId="0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2" borderId="4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4" fontId="0" fillId="2" borderId="1" applyAlignment="1" pivotButton="0" quotePrefix="0" xfId="0">
      <alignment vertical="center"/>
    </xf>
    <xf numFmtId="164" fontId="5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hsin</author>
    <author>ralf</author>
    <author>mwlee</author>
  </authors>
  <commentList>
    <comment ref="C9" authorId="0" shapeId="0">
      <text>
        <t xml:space="preserve">hsin:
3/11 27827
3/11 27874
3/11 27828
3/11 27875
3/11 27829
3/20 27876
</t>
      </text>
    </comment>
    <comment ref="B11" authorId="0" shapeId="0">
      <text>
        <t xml:space="preserve">hsin:
3/11 27827
3/20 27828
4/13 27874
4/15 27829
5/26 27876
5/26 27699
</t>
      </text>
    </comment>
    <comment ref="C15" authorId="0" shapeId="0">
      <text>
        <t xml:space="preserve">
3/16 27899
3/16 28003
3/16 27831
4/13 27807
3/20 27807
</t>
      </text>
    </comment>
    <comment ref="B17" authorId="0" shapeId="0">
      <text>
        <t xml:space="preserve">
3/19 27899
4/13 27807
4/13 27833
5/26 27834
5/26 27809
</t>
      </text>
    </comment>
    <comment ref="E22" authorId="1" shapeId="0">
      <text>
        <t xml:space="preserve">ralf:
單位:隻
</t>
      </text>
    </comment>
    <comment ref="E23" authorId="1" shapeId="0">
      <text>
        <t xml:space="preserve">ralf:
單位:隻
</t>
      </text>
    </comment>
    <comment ref="E25" authorId="1" shapeId="0">
      <text>
        <t xml:space="preserve">ralf:
單位:隻
</t>
      </text>
    </comment>
    <comment ref="B30" authorId="0" shapeId="0">
      <text>
        <t xml:space="preserve">hsin:
3/11 27839
3/11 27840
</t>
      </text>
    </comment>
    <comment ref="C30" authorId="0" shapeId="0">
      <text>
        <t xml:space="preserve">hsin:
3/11 27839
3/11 27840
</t>
      </text>
    </comment>
    <comment ref="B32" authorId="0" shapeId="0">
      <text>
        <t xml:space="preserve">hsin:
3/11 27877
hsin:
3/16 27836
3/16 27837
hsin:
3/20 27767
</t>
      </text>
    </comment>
    <comment ref="C32" authorId="0" shapeId="0">
      <text>
        <t xml:space="preserve">hsin:
3/20 27877
3/20 27836
3/20 27767
3/20 27837
3/20 27878
3/20 27768
</t>
      </text>
    </comment>
    <comment ref="C35" authorId="0" shapeId="0">
      <text>
        <t xml:space="preserve">hsin:
3/17 28042
</t>
      </text>
    </comment>
    <comment ref="C37" authorId="0" shapeId="0">
      <text>
        <t xml:space="preserve">hsin:
3/11 28025
3/11 27835
3/11 27914
3/25 27906
5/15 27770
5/15 27811
5/15 28113
</t>
      </text>
    </comment>
    <comment ref="C39" authorId="1" shapeId="0">
      <text>
        <t>ralf:
共用423工作台</t>
      </text>
    </comment>
    <comment ref="D39" authorId="1" shapeId="0">
      <text>
        <t>ralf:
共用HSA327橫樑</t>
      </text>
    </comment>
    <comment ref="D40" authorId="1" shapeId="0">
      <text>
        <t>ralf:
共用HSA-327橫樑</t>
      </text>
    </comment>
    <comment ref="D63" authorId="0" shapeId="0">
      <text>
        <t xml:space="preserve">hsin:
3/11 27839
3/11 27840
</t>
      </text>
    </comment>
    <comment ref="D64" authorId="0" shapeId="0">
      <text>
        <t xml:space="preserve">hsin:
3/11 27877
3/11 27836
3/11 27837
3/11 27878
</t>
      </text>
    </comment>
    <comment ref="D65" authorId="0" shapeId="0">
      <text>
        <t xml:space="preserve">hsin:
3/11 27842
3/11 27767
3/11 27906
3/11 27768
3/11 27811
</t>
      </text>
    </comment>
    <comment ref="D66" authorId="0" shapeId="0">
      <text>
        <t xml:space="preserve">hsin:
3/11 27835
3/11 27770
5/15 28118
4/6 28062
</t>
      </text>
    </comment>
    <comment ref="D70" authorId="0" shapeId="0">
      <text>
        <t xml:space="preserve">hsin:
3/11 27969
4/6 26808
4/16 28076
</t>
      </text>
    </comment>
    <comment ref="D71" authorId="0" shapeId="0">
      <text>
        <t xml:space="preserve">hsin:
4/27 27969
</t>
      </text>
    </comment>
    <comment ref="D72" authorId="0" shapeId="0">
      <text>
        <t xml:space="preserve">hsin:
3/11 27930
</t>
      </text>
    </comment>
    <comment ref="B87" authorId="1" shapeId="0">
      <text>
        <t>ralf:
加長1米</t>
      </text>
    </comment>
    <comment ref="B92" authorId="0" shapeId="0">
      <text>
        <t xml:space="preserve">hsin:
3/11 28007
</t>
      </text>
    </comment>
    <comment ref="C92" authorId="0" shapeId="0">
      <text>
        <t xml:space="preserve">hsin:
3/11 28007
</t>
      </text>
    </comment>
    <comment ref="C102" authorId="2" shapeId="0">
      <text>
        <t>mwlee:
1台內加工不良- 永棧鑄件</t>
      </text>
    </comment>
  </commentList>
</comments>
</file>

<file path=xl/comments/comment2.xml><?xml version="1.0" encoding="utf-8"?>
<comments xmlns="http://schemas.openxmlformats.org/spreadsheetml/2006/main">
  <authors>
    <author>guang</author>
    <author>001289</author>
    <author>ralf</author>
    <author>hsinwei</author>
  </authors>
  <commentList>
    <comment ref="C2" authorId="0" shapeId="0">
      <text>
        <t xml:space="preserve">guang:
10/21 入1台(ZF)
12/31 入1台(ZF)
21/1/13 入1台(CFC)
3/5 入1台(CFC)
4/1 入1台(CFC)
4/7 入1台(CFC-中凸15mm)
4/27 出1台(CFC-中凸15mm)
5/18 入1台(CFC)
6/10 入1台(CFC)
7/5 入2台(CFC-1147)
7/20 入1台(CFC-1177)
8/31 入1台(CFC)
22/2/22 入1台(CFC-#2344)
3/9 入1台(CFC-#2431)
4/20 入1台(CFC-#2648)
4/25 入1台(CFC-#2670)
guang:
23/1/9 入1台(CFC-#3308)
5/2 入1台(CFC-#3512)
guang:
7/5 入1台(CFC-#3688)
11/29 入1台(CFC-#4087)
24/2/29 入1台(CFC-#4372)
4/2 入1台(CFC-#4466)
guang:
4/24 入1台(CFC-#4555)
</t>
      </text>
    </comment>
    <comment ref="D2" authorId="0" shapeId="0">
      <text>
        <t xml:space="preserve">guang:
10/26 M4*1 OK(813)
21/1/5 M4*1 OK(813)
1/14 M4*1 OK(409)
3/8 M4*1 OK(813)
4/6 M4*1 OK(17M)
5/19 M4*1 OK(409)
6/10 M4*1 OK(409-8121060044)
7/9 M4*1 OK(408-000400001147)
7/12 M4*1 OK(408-000400001147)
8/14 M4*1 OK(17M-000400001177)
9/8 M4*1 OK(17M-000400000029)
22/3/14 M4*2 OK(17M-#2344，#2431)
4/22 M4*1 OK(813-000400002648)
5/31 M4*1 OK(17M-000400002670)
23/1/11 M4*1 OK(409-000400003308)
5/12 M4*1 OK(17M-000400003512)
712 M4*1 OK(409-000400003688)
12/28 M4*1 OK(813-000400004087)
24/3/1 M4*1 OK(813-000400004372)
4/9 M4*1 OK(813-000400004466)
guang:
11/19 M4*1 OK(17M-000400004555)
guang:
</t>
      </text>
    </comment>
    <comment ref="E2" authorId="0" shapeId="0">
      <text>
        <t xml:space="preserve">guang:
11/2 M3*1 OK(813)
21/1/13 M3*1 OK(409)
1/22 M3*1 OK(409)
3/12 M3*1 OK(409)
4/9 M3*1 OK(813-0004000000515)
5/24 M3*1 OK(409-0004000000536)
6/15 M3*1 OK(409-8121060045)
7/20 M3*1 OK(409-000400001147)
12/24 M3*1 OK(410-000400000029)
12/28 M3*1 OK(410-000400001177)
22/1/4 M3*1 OK(410-000400001147)
3/17 M3*1 OK(813-000400002344)
3/21 M3*1 OK(813-000400002431)
7/27 M3*1 OK(409-000400002670)
10/4 M3*1 OK(409-000400002648)
guang:
23/2/1 M3*1 OK(409-000400003308)
6/7 M3*1 OK(410-000400003512)
11/1 M3*1 OK(409-000400003688)
24/1/5 M3*1 OK(813-000400004087)
3/13 M3*1 OK(409-000400004372)
4/17 M3*1 OK(409-000400004466)
25/7/16 M3*1 OK(409-000400004555)
</t>
      </text>
    </comment>
    <comment ref="F2" authorId="0" shapeId="0">
      <text>
        <t xml:space="preserve">guang:
11/11 研磨OK
11/16 出1台(本廠-HA20110201-28313)
21/1/15 研磨OK
1/22 出1台(本廠-HA21011301-100000268)
1/22 研磨OK
3/4 出1台(本廠-HA21012201-100000358)
3/19 研磨OK
3/23 出1台(本廠-HA21031201-100000405-000400000361)
guang:
4/20 出1台(本廠-HA21040901-100000489-000400000515)
6/1 研磨OK
6/2 出1台(本廠-HA21052401-100000704-000400000536)
6/19 研磨OK(000400000988)
8/2 研磨OK(000400001147)
11/12 出1台(本廠-HA21061501-100001264-000400000988)
12/30 出1台(本廠-HA21072001-100001392-000400001147)
22/2/8 研磨OK(000400000029)
3/8 出1台(本廠-HA21122401-100001525-000400000029)
3/25 研磨OK(000400002344)
3/30 研磨OK(000400002431)
4/28 出1台(本廠-HA22032101-100001723-000400002431)
5/23 研磨OK(000400001147)
6/2 出1台(本廠-HA22010401-100001784-000400001147)-抽單改100001943
5/18 研磨OK(000400001177)
7/28 出1台(本廠-HA21122901-100001889-000400001177)
8/30 研磨OK(000400002670)
001289:
10/28 研磨OK(000400002648)
11/24 出1台(本廠-HA22100401-100002113-000400002648)
11/30 出1台(本廠-HA22072701-100002143-000400002670)
guang:
23/3/3 研磨OK(000400003308)
4/10 出1台(本廠-HA22031701-100002357-000400002344)
6/8 出1台(本廠-HA22071001-100002401-000400003308)
7/5 研磨OK(000400003512)
8/1 出1台(本廠-HA23060701-100002492-000400003512)
11/30 研磨OK(000400003688)
12/4 出1台(本廠-HA23110101-100002630-000400003688)
24/1/17 研磨OK(000400004087)
3/18 出1台(本廠-HA24010501-100002762-000400004087)
guang:
3/26 研磨OK(000400004372)
5/30 研磨OK(000400004466)
001280:
7/30 研磨OK(000400004555)
hsinwei:
25/10/20 出1台(本廠-HA24031301-100003413-000400004372)
</t>
      </text>
    </comment>
    <comment ref="C3" authorId="0" shapeId="0">
      <text>
        <t xml:space="preserve">guang:
24/2/5 入1台(CFC-#4310)
2/27 入1台(CFC-#4345)
guang:
25/1/16 入1台(CFC-#5380)
2/17 入1台(CFC-#5464)
</t>
      </text>
    </comment>
    <comment ref="D3" authorId="0" shapeId="0">
      <text>
        <t xml:space="preserve">guang:
24/2/15 M4*1 OK(813-000400004310)
2/29 M4*1 OK(813-000400004345)
25/2/3 M4*1 OK(409-000400005380)
2/20 M4*1 OK(409-000400005464)
</t>
      </text>
    </comment>
    <comment ref="E3" authorId="0" shapeId="0">
      <text>
        <t xml:space="preserve">guang:
24/2/21 M3*1 OK(813-000400004310)
guang:
2/26 出1台(台典-HA24022101-100002708-#4310)
3/19 M3*1 OK(409-000400004345)
3/20 出1台(台典-HA24031901-100002709-#4345)
25/2/12 M3*1 OK(409-000400005380)
2/24 M3*1 OK(409-000400005464)
</t>
      </text>
    </comment>
    <comment ref="F3" authorId="0" shapeId="0">
      <text>
        <t>guang:
25/2/21 研磨*1OK(#5380)
3/3 出1台(本廠-HA25021201-100003139-#5380)
3/10 研磨*1OK(#5464)
3/12 出1台(本廠-HA25022401-100003140-#5464)</t>
      </text>
    </comment>
    <comment ref="C4" authorId="0" shapeId="0">
      <text>
        <t xml:space="preserve">guang:
10/28 入1台(CFC-#3201)
</t>
      </text>
    </comment>
    <comment ref="D4" authorId="0" shapeId="0">
      <text>
        <t xml:space="preserve">guang:
10/31 M4*1 OK(409-#3201)
</t>
      </text>
    </comment>
    <comment ref="E4" authorId="1" shapeId="0">
      <text>
        <t xml:space="preserve">001289:
11/7 M3*1 OK(409-000400003201)
</t>
      </text>
    </comment>
    <comment ref="F4" authorId="1" shapeId="0">
      <text>
        <t xml:space="preserve">001289:
11/15 研磨OK(000400003201)
guang:
23/1/5  出1台(本廠(HA22110701-100002015-000400003201)
</t>
      </text>
    </comment>
    <comment ref="C5" authorId="0" shapeId="0">
      <text>
        <t xml:space="preserve">guang:
5/2 入1台(YK)
5/9 入1台(YK)
5/11 入1台(YK)
5/16 入1台(YK)
5/24 入1台(YK)
6/01 入1台(YK)
6/07 入1台(YK)
6/29 入1台(YK)
7/7 入1台(YK)
7/10 入1台(YK)
7/12 入1台(YK)
9/26 入1台(YK)
11/22 入1台(YK)
11/29 入1台(YK)
12/20 入2台(YK)
12/22 入1台(YK)
1/8 入1台(YK)
1/15 入1台(YK)
1/19 入1台(YK)
1/23 入1台(YK)
4/3 入1台(YK)
4/11 入1台(YK)
4/18 入2台(YK)
4/25 入1台(YK)
4/30 入1台(YK)
9/10 入2台(YK)
9/26 入2台(YK)
10/23 入1台(YK)
11/5 入1台(YK)
12/13 入1台(YK)
12/14 入1台(YK)
1/2 入1台(YK)
2/23 入1台(YK)
8/8 入1台(YK)
</t>
      </text>
    </comment>
    <comment ref="D5" authorId="0" shapeId="0">
      <text>
        <t xml:space="preserve">guang:
3/10 M4*1 OK(813)
4/6 M4*1 OK(409)
4/12 M4*1 OK(409)
5/4 M4*2 OK(409)
5/18 M4*2 OK(409)
6/13 M4*1 OK(409)
6/14 M4*1 OK(409)
9/4 M4*1 OK(17M)
9/4 M4*2 OK(409)
9/25 M4*1 OK(523)
9/29 M4*1 OK(523)
9/30 M4*2 OK(523)
12/20 M4*1 OK(813)
12/21 M4*1 OK(813)
1/15 M4*1 OK(523)
1/24 M4*1 OK(409)
1/25 M4*2 OK(409)
2/7 M4*1 OK(408)
2/8 M4*2 OK(408)
4/20 M4*2 OK(408)
5/29 M4*3 OK(17M)
5/30 M4*1 OK(17M)
9/18 M4*2 OK(410)
10/4 M4*2 OK(408)
10/25 M4*1 OK(410)
11/15 M4*1 OK(408)
12/25 M4*2 OK(523)
1/17 M4*1 OK(409)
3/6 M4*1 OK(409)
8/13 M4*1 OK(409)
</t>
      </text>
    </comment>
    <comment ref="E5" authorId="0" shapeId="0">
      <text>
        <t xml:space="preserve">guang:
3/7 M3*1 OK(409)
3/9 M3*1 OK(409)
3/11 M3*1 OK(409)
3/15 M3*1 OK(409)
4/19 M3*1 OK(409)
5/13 M3*1 OK(409)
5/17 M3*1 OK(409)
6/10 M3*1 OK(409)
6/13 M3*1 OK(409)
6/27 M3*1 OK(409)
6/29 M3*1 OK(409)
9/7 M3*1 OK(409)
9/14 M3*1 OK(813)
9/27 M3*1 OK(813)
9/28 M3*1 OK(409)
10/3 M3*1 OK(523)
10/24 M3*1 OK(523)
10/30 M3*1 OK(523)
11/1 M3*1 OK(523)
1/3 M3*1 OK(813)
1/4 M3*1 OK(813)
1/9 出1台(轉隆升研)
1/27 M3*1 OK(409)
1/30 M3*1 OK(409)
3/1 M3*1 OK(523)
3/28 M3*1 OK(410)
3/29 M3*1 OK(410)
3/31 M3*1 OK(410)
5/24 M3*1 OK(410)
5/26 M3*1 OK(410)
5/29 出2台(轉隆升研)
5/29 M3*1 OK(410)
5/31 M3*1 OK(410)
6/1 出2台(轉隆升研)
6/2 M3*1 OK(410)
6/5 M3*1 OK(410)
6/7 M3*1 OK(410)
6/7 出2台(轉隆升研)
6/15 出1台(轉隆升研)
9/21 M3*1 OK(410)
9/26 M3*1 OK(410)
10/19 M3*1 OK(410)
10/24 M3*1 OK(410)
10/30 M3*1 OK(410)
12/3 M3*1 OK(410)
1/21 M3*1 OK(409)
1/23 M3*1 OK(409)
1/25 M3*1 OK(409)
3/11 M3*1 OK(409)
8/22 M3*1 OK(409)
8/27 出1台(轉隆升-HA19082201)
</t>
      </text>
    </comment>
    <comment ref="F5" authorId="0" shapeId="0">
      <text>
        <t xml:space="preserve">guang:
4/7 出1台
5/3 出1台
5/17 出1台
5/18 出1台
5/19 出1台
6/26 出1台
6/28 出1台
7/20 出1台
8/3 出1台
9/12 出1台
9/21 出1台
ralf:
9/30 研磨OK*1
10/3研磨OK*1
10/5 出1台(6路)
10/17 出1台(6路)
10/22 出1台(6路)
11/07研磨OK*1
11/8 出1台(本廠)
12/4 出1台(6路)
1/23 出1台(6路)
3/7 出1台(6路)
3/8 出1台(6路)
3/9 出1台(6路)
3/15研磨OK*1
3/23 出1台(6路)
4/2 研磨OK*1
4/2 出1台(6路)
4/25 出1台(6路)
6/28 出1台(6路)
guang:
7/31 入5台(興隆興)
8/6 出2台(興隆興)(6路)
8/7 出2台(興隆興)(6路)
8/30 出1台(興隆興)(6路)
10/2 研磨OK*1
10/8 出1台(6路)
10/29 出1台(6路)
11/6 研磨OK*1
11/7 出1台(6路)
11/8 研磨OK*1
11/12 出1台(6路)
11/12 研磨OK*1
1/19 出1台(6路-HA18101901)
1/24 研磨OK*1
1/24 出1台(6路-HA18120301)
1/25 研磨OK*1
2/1 出1台(6路-HA19012101)
2/25 研磨OK*1
2/25 出1台(6路-HA19012301)
2/26 研磨OK*1
2/27 出1台(6路-HA19012501)
4/10 研磨OK*1
5/28 出1台(6路-HA19031101)
11/12 出1台(6路-HA19082201-隆升研)
</t>
      </text>
    </comment>
    <comment ref="C6" authorId="0" shapeId="0">
      <text>
        <t xml:space="preserve">guang:
3/22 入1台(YK)
3/27 入1台(YK)
5/3 入1台(YK)
5/27 入1台(YK)
5/30 入1台(YK)
8/20 入1台(YK)
8/28 入1台(YK)
9/2 入1台(YK)
9/11 入1台(YK)
9/19 入1台(YK)
9/30 入1台(YK)
2/27 入1台(YK)
3/20 入1台(YK)
3/30 入1台(YK)
4/13 入1台(YK)
4/23 入1台(YK)
5/5 入1台(YK)
6/9 入1台(YK)
6/12 入1台(YK)
6/24 入1台(YK)
7/10 入1台(YK)
8/11 入1台(YK)
21/7/5 入2台(YK)
7/7 入1台(YK)
</t>
      </text>
    </comment>
    <comment ref="D6" authorId="0" shapeId="0">
      <text>
        <t xml:space="preserve">guang:
4/2 M4*2 OK(409)
5/8 M4*1 OK(409)
6/10 M4*2 OK(409)
8/28 M4*1 OK(409)
8/29 M4*1 OK(409)
9/3 M4*1 OK(409)
10/7 M4*1 OK(409)
10/14 M4*1 OK(409)
3/3 M4*1 OK(409)
3/30 M4*2 OK(17M)
4/15 M4*1 OK(409)
5/4 M4*1 OK(409)
5/22 M4*1 OK(409)
6/30 M4*1 OK(409)
7/1 M4*2 OK(409)
7/14 M4*1 OK(813)
8/14 M4*1 OK(813)
21/7/13 M4*1 OK(408-1063)
8/13 M4*1 OK(17M-1063)
8/13 M4*1 OK(17M-1214)
</t>
      </text>
    </comment>
    <comment ref="E6" authorId="0" shapeId="0">
      <text>
        <t xml:space="preserve">guang:
4/11 M3*1 OK(813)
4/16 M3*1 OK(813)
5/14 M3*1 OK(409)
6/19 M3*1 OK(409)
6/24 M3*1 OK(409)
9/9 M3*1 OK(409)
9/19 M3*1 OK(409)
9/26 M3*1 OK(409)
10/23 M3*1 OK(409)
10/30 M3*1 OK(409)
3/11 M3*1 OK(409)
4/14 M3*1 OK(409)
4/30 M3*1 OK(409)
5/15 M3*1 OK(409)
5/21 M3*1 OK(409)
7/17 M3*1 OK(409)
7/23 M3*1 OK(409)
7/29 M3*1 OK(409)
8/4 M3*1 OK(409)
8/21 M3*1 OK(409)
21/3/8 M3*1 OK(409)
9/9 M3*1 OK(409-1063)
10/19 M3*1 OK(409-1063)
10/27 M3*1 OK(409-1214)
</t>
      </text>
    </comment>
    <comment ref="F6" authorId="0" shapeId="0">
      <text>
        <t xml:space="preserve">guang:
4/22 研磨*1 OK
4/23 出1台(6路-HA19041101)
5/22 研磨*1 OK
6/3 研磨*1 OK
6/28 出1台(6路-HA19051401)
7/8 研磨*1 OK
7/18 出1台(6路-HA19062401)
7/30 出1台(6路-HA19041601)
7/31 研磨*1 OK
8/19 出1台(6路-HA19061901)
9/18 研磨*1 OK
9/18 出1台(6路-HA19090901)
10/3 研磨*1 OK
10/9 研磨*1 OK
12/17 出1台(6路-HA19092501)
1/02 研磨*1 OK
1/14 出1台(6路-HA19102301)
2/10 研磨*1 OK
3/3 出2台(6路-HA19091801,HA19103001)
4/21 研磨*1 OK
4/23 研磨*1 OK
6/3 研磨*1 OK
6/17 出1台(6路-HA20051501-28148)
6/18 出1台(6路-HA20041401-28149)
8/18 研磨*1 OK
9/29 出1台(6路-HA20080401-27699)
10/12 研磨*1 OK
10/20 出1台(6路-HA20082101-27827)
11/19 出1台(6路-HA20031101-27828)
11/30 研磨*1 OK
12/3 研磨*1 OK
12/4 出1台(6路-HA20070901-27829)
12/7 研磨*1 OK
12/9 研磨*1 OK
21/2/25 出1台(6路-HA20072901-100000393)
2/26 出1台(6路-HA20072301-100000362)
4/19 出1台(6路-HA20052101-100000527)
4/21 研磨*1 OK
4/22 出1台(6路-HA20043001-100000545)
4/26 研磨*1 OK
5/5 出1台(6路-HA21030801-100000614)
9/14 研磨*1 OK(000400001063)
11/19 研磨*1 OK(000400001214)
12/7 研磨*1 OK(000400001063)
22/2/14 出1台(6路-HA21101901-100001515-000400001063)
3/15 出1台(6路-HA21090901-100001503-000400001063)
24/4/10 出1台(6路-HA21102701-100002778-000400001214&amp;4162)
guang:
</t>
      </text>
    </comment>
    <comment ref="C7" authorId="0" shapeId="0">
      <text>
        <t xml:space="preserve">guang:
3/30 入1台(YK)
21/7/21 入1台(YZ)
8/11 入1台(YZ)
8/27 入1台(YZ)
8/30 入1台(YZ)
9/7 入1台(YZ)
9/10 入1台(YZ)
9/22 入1台(YZ)
9/27 入1台(YZ)
9/30 入1台(YK)
22/1/5 入1台(YZ-#2111)
1/6 入1台(YZ-#2119)
1/12 入1台(YZ-#2163)
1/19 入1台(LD-#2194)
1/25 入1台(LD-#2237)
3/11 入1台(YK-#2413)
3/18 入1台(YK-#2413)
3/29 入1台(YK-#2476)
5/26 入2台(YK-#2796)
8/9 入1台(LD-#3038)
8/15 入1台(LD-#3038)
001289:
11/30 入1台(LD-#3253)
guang:
12/1 入1台(LD-#3253)
23/1/17 入1台(LD-#3360)
2/9 入1台(LD-#3390)
3/29 入1台(LD-#3439)
5/2 入2台(LD-#3529)
guang:
24/3/11 入1台(YK-#4383)
3/12 入1台(LD-#4366)
3/20 入1台(LD-#4404)
6/18 入1台(LD-#4836)
12/6 入1台(SY-#5071)
guang:
12/18 入1台(SY-#5071)
25/1/2 入1台(SY-#5283)
1/6 入1台(SY-#5283)
2/10 入1台(SY-#5321)
2/20 入1台(SY-#5321)
4/22 入1台(SY-#5321)
</t>
      </text>
    </comment>
    <comment ref="D7" authorId="0" shapeId="0">
      <text>
        <t xml:space="preserve">guang:
3/31 M4*1 OK(17M)
21/7/24 M4*1 OK(813-1301)
8/13 M4*1 OK(17M)
8/28 M4*1 OK(409-1543)
9/2 M4*1 OK(813-1548)
9/8 M4*1 OK(813-1603)
9/15 M4*1 OK(813-1635)
9/28 M4*1 OK(408-1667)
9/28 M4*1 OK(408-1699)
10/9 M4*1 OK(409-1703)
22/1/6 M4*1 OK(17M-2111)
1/7 M4*1 OK(17M-2119)
1/13 M4*1 OK(17M-2163)
1/19 M4*1 OK(17M-2194)
2/14 M4*1 OK(410-2237)
3/15 M4*1 OK(17M-#2413)
3/23 M4*1 OK(17M-#2413)
4/7 M4*1 OK(17M-#2476)
5/30 M4*1 OK(17M-#2796)
5/31 M4*1 OK(17M-#2796)
8/29 M4*1 OK(411-#3038)
8/30 M4*1 OK(411-#3038)
001289:
12/6 M4*2 OK(813-#3253)
23/2/3 M4*1 OK(410-#3360)
2/16 M4*1 OK(410-#3390)
3/30 M4*1 OK(17M-#3439)
3/31 M4*1 OK(17M-#3464-錯誤-200H)
5/12 M4*1 OK(17M-#3529)
5/15 M4*1 OK(17M-#3529)
24/3/11 M4*1 OK(813-#4383)
3/27 M4*1 OK(409-#4366)
3/28 M4*1 OK(409-#4404)
7/24 M4*1 OK(17M-#4836)
12/6 M4*1 OK(813-#5071)
12/19 M4*1 OK(409-#5071)
1/3 M4*1 OK(409-#5283)
1/14 M4*1 OK(813-#5283)
2/20 M4*1 OK(409-#5321)
3/10 M4*1 OK(17M-#5321)
7/15 M4*1 OK(813-#5321)
</t>
      </text>
    </comment>
    <comment ref="E7" authorId="0" shapeId="0">
      <text>
        <t xml:space="preserve">guang:
4/13 M3*1 OK(813)
7/30 M3*1 OK(409-1301)
8/18 M3*1 OK(409-1416)
9/2 M3*1 OK(409-1543)
9/6 M3*1 OK(409-1548)
9/14 M3*1 OK(409-1603)
9/20 M3*1 OK(409-1635)
10/1 M3*1 OK(409-1667)
10/6 M3*1 OK(409-1669)
10/15 M3*1 OK(409-1703-斜契太薄銑掉)
22/1/11 M3*1 OK(409-2111)
2/17 M3*1 OK(410-2194)
2/21 M3*1 OK(410-2237)
2/24 M3*1 OK(410-2160)
2/28 M3*1 OK(410-2119)
3/23 M3*1 OK(409-2413)
3/26 M3*1 OK(409-2413)
4/27 M3*1 OK(409-2476)
6/28 M3*1 OK(409-#2796)
7/1 M3*1 OK(409-#2796)
9/21 M3*1 OK(409-#3038)
9/27 M3*1 OK(409-#3038)
guang:
12/14 M3*1 OK(409-#3253)
guang:
12/27 M3*1 OK(813-#3253)
23/2/20 M3*1 OK(409-#3360)
2/24 M3*1 OK(409-#3390)
4/11 M3*1 OK(409-#3439)
6/20 M3*1 OK(409-#3529)
8/10 M3*1 OK(409-#3529)
24/3/15 M3*1 OK(813-#4383)
3/18 出1台(台典研-HA24031501-#4383)
guang:
4/3 M3*1 OK(409-#4366)
4/11 M3*1 OK(409-#4404)
9/3 M3*1 OK(410-#4836)
guang:
9/4 入1台(YK-大陸加工-#4959)
12/11 M3*1 OK(813-#5071)
12/24 M3*1 OK(813-#5071)
25/1/8 M3*1 OK(813-#5283)
3/13 M3*1 OK(410-#5321)
3/26 M3*1 OK(409-#5321)
4/1 M3*1 OK(409-#5283)
hsinwei:
7/28 M3*1 OK(409-#5321)
</t>
      </text>
    </comment>
    <comment ref="F7" authorId="0" shapeId="0">
      <text>
        <t xml:space="preserve">guang:
4/16 研*1 OK
4/17 出1台(6路-HA20041301-28063)
8/4 研*1 OK
8/18 出1台(三廠 -HA21073001-100000736-000400001301)
8/24 研*1 OK
8/25 出1台(三廠 -HA21081801-100000719-000400001416)
9/6 研*1 OK(000400001543)
9/7 出1台(三廠 -HA21090201-100000720-000400001543)
9/9 研*1 OK(000400001548)
9/9 出1台(三廠 -HA21090601-100000740-000400001548)
9/16 研*1 OK(000400001603)
9/25 研*1 OK(000400001635)
10/6 出1台(本廠 -HA21092001-100000835-000400001635)
10/5 研*1 OK(000400001667)
10/8 出1台(本廠 -HA21100101-100000836-000400001667)
10/12 研*1 OK(000400001699)
10/25 出1台(本廠 -HA21091401-100000959-000400001603)
11/17 研*1 OK(000400001703-斜契銑掉)
12/14 出1台(本廠 -HA21100501-100001380-000400001699)
22/1/20 出1台(本廠 -HA21101501-100001432-000400001703)
1/18 研*1 OK(000400002111)
2/22 出1台(本廠 -HA22011101-100001423-000400002111)
2/24 研*1 OK(000400002194)
3/1 出1台(本廠 -HA22021701-100001395-000400002194)
3/2 研*1 OK(000400002237)
3/7 研*1 OK(000400002119)
3/10 研*1 OK(000400002163)
4/11 研*1 OK(000400002413)
5/12 出1台(本廠 -HA22022401-100001690-000400002163)
6/15 出1台(本廠 -HA22022801-100001827-000400002119)
6/23 出1台(本廠 -HA22032601-100001828-000400002413)
6/15 研*1 OK(000400002476)
6/17 研*1 OK(000400002413)
6/30 出1台(本廠 -HA22022101-100001385-000400002237)
7/11 出1台(本廠 -HA22032301-100001897-000400002413)抽單改-1000001940
7/12 研*1 OK(000400002796)
7/15 研*1 OK(000400002796)
9/23 出1台(本廠 -HA22042701-100001897-000400002476)-復活
10/7 研*1 OK(000400003038)
001289:
11/2 出1台(本廠 -HA22092101-100002003-000400003038)
11/8 出1台(本廠 -HA22070101-100002074-000400002796)
11/24 研*1 OK(000400003038)
12/16 出1台(本廠 -HA22062801-100002173-000400002796)
23/2/2 出1台(本廠 -HA22092701-100002218-000400003038)
2/8 研*1 OK(000400003253)
2/10 出1台(本廠 -HA22122701-100002224-000400003253)
2/17 研*1 OK(000400003253)
3/9 研*1 OK(000400003360)
3/15 研*1 OK(000400003390)
3/17 出1台(本廠 -HA23022401-100002269-000400003390)
guang:
5/8 出1台(本廠 -HA23022001-100002374-000400003360)
7/11 研*1 OK(000400003529)
8/3 出1台(本廠 -HA22121401-100002482-000400003253)
7/18 研*1 OK(000400003439)
8/17 出1台(本廠-HA23041001-100002501-000400003439)
9/7 研*1 OK(000400003529)
24/1/9 出1台(本廠-HA23062001-100002667-000400003529)
24/1/25 出1台(本廠-HA23081001-100002699-000400003529)
4/30 研*1 OK(000400004404)
5/2 出1台(本廠-HA24041101-100002802-000400004404)
4/24 研*1 OK(000400004366)
5/14 出1台(本廠-HA24040301-100002827-000400004366)
9/6 研*1 OK(000400004836)
9/12  研*1 OK(LYM24060601-000400004959)大陸加工
9/19 出1台(本廠-LYM24060601-100002940-000400004959)大陸加工
10/11 出1台(本廠-HA24090301-100002993-000400004836)
12/17 研*1 OK(000400005071)
12/18 出1台(本廠-HA24121101-100003086-000400005071)
12/31 研*1 OK(000400005071)
25/1/2 出1台(本廠-HA24122401-100003093-000400005071)
1/16 研*1 OK(000400005283)
1/16 出1台(本廠-HA25010801-100003126-000400005071)
3/26 研*1 OK(000400005321)
4/8 研*1 OK(000400005321)
5/6 研*1 OK(000400005283)
 8/13 研*1 OK(000400005321)
</t>
      </text>
    </comment>
    <comment ref="C8" authorId="0" shapeId="0">
      <text>
        <t xml:space="preserve">guang:
23/3/31 入1台(LD-#3464)
6/5 入1台(LD-#3584)
guang:
24/10/24 入1台(SY-#5072)
</t>
      </text>
    </comment>
    <comment ref="D8" authorId="0" shapeId="0">
      <text>
        <t xml:space="preserve">guang:
23/6/6 M4*1 OK(410-#3584)
guang:
24/10/30 M4*1 OK(410-#5072)
</t>
      </text>
    </comment>
    <comment ref="E8" authorId="0" shapeId="0">
      <text>
        <t xml:space="preserve">guang:
23/4/19 M3*1 OK(409-#3464)
6/13 M3*1 OK(410-#3584)
guang:
24/11/8 M3*1 OK(410-#5072)
</t>
      </text>
    </comment>
    <comment ref="F8" authorId="0" shapeId="0">
      <text>
        <t xml:space="preserve">guang:
23/4/26 研磨OK(#3464)
4/27 出1台(6路-100002290-00040003464)
6/15 研磨OK(#3584)
6/19 出1台(本廠-HA23061301-100002385-000400003584)+100H
24/11/19 研磨OK(#5072)
12/20 出1台(本廠-HA24110801-100002996-000400005072)+100H
</t>
      </text>
    </comment>
    <comment ref="C9" authorId="0" shapeId="0">
      <text>
        <t xml:space="preserve">guang:
2023/9/11 入1台(LD-#3847)
2024/2/29 入1台(LD-#4373)
</t>
      </text>
    </comment>
    <comment ref="D9" authorId="0" shapeId="0">
      <text>
        <t xml:space="preserve">guang:
24/3/1 M4*1 OK(813-#4373)
</t>
      </text>
    </comment>
    <comment ref="E9" authorId="0" shapeId="0">
      <text>
        <t xml:space="preserve">guang:
23/10/20 M3*1 OK(410-#3847)
10/26 出1台(台典研-HA23102001-100002555-000400003847)
24/3/6 M3*1 OK(409-#4373)
3/11 出1台(台典研-HA24030601-100002736-000400004373)
</t>
      </text>
    </comment>
    <comment ref="C10" authorId="0" shapeId="0">
      <text>
        <t xml:space="preserve">guang:
4/6 入1台(YK)
4/7 入2台(YK)
4/12 入1台(YK)
4/13 入1(YK)
4/19 出1給傑晃加工
guang:
4/20 出2台(轉傑晃加工)
6/9 入1台(YK)  
6/20 入1台(YK)  
6/29 入1台(YK)
6/30 入1台(YK)
7/7 入1台(YK)
7/13 入1台(YK)
7/19 入1台(YK)
7/26 入2台(YK)
8/4 入2台(YK)
11/8 入1台(YK)
1/8 入1台(YK)
1/9 入1台(YK)
1/15 入1台(YK)
1/18 入1台(YK)
1/23 入1台(YK)
4/3 入1台(YK)
4/11 入1台(YK)
4/18 入2台(YK)
4/30 入1台(YK)
5/4 入1台(YK)
5/9 入1台(YK)
5/15 入2台(YK)
5/21 入1台(YK)
9/2 入1台(YK)
</t>
      </text>
    </comment>
    <comment ref="D10" authorId="0" shapeId="0">
      <text>
        <t xml:space="preserve">guang:
3/22 M4*1 OK(409)
4/5 M4*1 OK(409)
4/12 M4*2 OK(409)
5/23 M4*1OK(409)
6/15 M4*1OK(523)
6/21 M4*1OK(409)
7/5 M4*2 OK(813)
7/10 M4*1OK(523)
7/19  M4*3 OK(523)
7/31 M4*1 OK(523)
8/30 M4*1 OK(17M)
9/1 M4*1 OK(17M)
9/25 M4*1 OK(523)
11/13 M4*1OK(409)
1/15 M4*1 OK(523)
2/6 M4*2OK(408)
2/7 M4*2 OK(408)
4/19 M4*1 OK(408)
4/20 M4*1 OK(408)
5/14 M4*2 OK(410)
5/15 M4*1 OK(410)
6/11 M4*1 OK(410)
6/12 M4*3 OK(410)
long:
6/23 M4*1 OK(408)
9/3 M4*1 OK(523)
</t>
      </text>
    </comment>
    <comment ref="E10" authorId="0" shapeId="0">
      <text>
        <t xml:space="preserve">guang:
4/8 M3*1 OK(409)
4/20 M3*1 OK(409)
4/22 M3*1 OK(409)
6/1 M3*1 OK(409)
6/23 M3*1 OK(409)
6/23 M3*1 OK(523)
7/13 M3*1 OK(523)
7/18M3*1 OK(523)(特)
7/22M3*1 OK(523)(特)
7/26M3*1 OK(523)(特)
7/28M3*1 OK(523)(特)
8/17M3*1 OK(523)(特)
9/18M3*1 OK(523)(特)
9/20M3*1 OK(523)(特)
9/23M3*1 OK(523)(特)
9/29M3*1 OK(523)(特)
11/21 M3*1 OK(813)
1/18 M3*1 OK(523)
4/17 M3*1 OK(410)
4/19 M3*1 OK(410)
4/23 M3*1 OK(410)
4/25 M3*1 OK(410)
4/27 M3*1 OK(410)
5/12 M3*1 OK(410)
5/17 M3*1 OK(410)
5/21 M3*1 OK(410)
6/11 M3*1 OK(410)
6/15 M3*1 OK(410)
6/20 M3*1 OK(410)
6/22 M3*1 OK(410)
6/26 M3*1 OK(410)
6/28 M3*1 OK(410)
7/23 出1台(轉隆升研)(HA18052101)OK 
7/25 出1台(轉隆升研)(HA18062201) 
7/26 出1台(轉台典研)(HA18061101) 
7/30 出1台(轉台典研)(HA18062801) 
8/6 出1台(轉台典研)(HA18061501) 
8/9 出1台(轉台典研)(HA18062601) 
8/10 出1台(轉台典研)(HA18062001) 
9/10 M3*1 OK(523)
</t>
      </text>
    </comment>
    <comment ref="F10" authorId="0" shapeId="0">
      <text>
        <t xml:space="preserve">guang:
5/15 出1台
5/18 出1台
6/8 出1台
7/6 出1台
7/17 研磨OK*1
7/25 研磨OK*1
7/26 研磨OK*1
8/4 出1台(6路)
8/14 出1台(6路)
8/28研磨OK*1
8/29 出1台(本廠)
8/31 出1台(本廠)
9/7 出1台(本廠)
9/7  研磨OK*1
9/12 出1台(本廠)
9/15 出1台(本廠)
9/22 出1台(本廠)
9/25  研磨OK*1
9/26 出1台(本廠)
10/17 出1台(本廠)
11/3 出1台(本廠)
11/24 出1台(本廠)
5/18 出1台(本廠)
5/23 出1台(6路)
5/25 出1台(6路)
5/30 出1台(6路)
6/1 出1台(6路)
6/6 出1台(6路)
7/23 出1台(6路)
7/24 出1台(6路)
9/19 研磨*1 OK
9/23 出1台(6路-HA19091101)
</t>
      </text>
    </comment>
    <comment ref="C11" authorId="0" shapeId="0">
      <text>
        <t xml:space="preserve">guang:
11/20 入1台(YK)
</t>
      </text>
    </comment>
    <comment ref="D11" authorId="0" shapeId="0">
      <text>
        <t xml:space="preserve">guang:
11/21 M4*1 OK(523)
</t>
      </text>
    </comment>
    <comment ref="E11" authorId="0" shapeId="0">
      <text>
        <t xml:space="preserve">guang:
11/28 M3*1 OK(523)
</t>
      </text>
    </comment>
    <comment ref="F11" authorId="0" shapeId="0">
      <text>
        <t xml:space="preserve">guang:
12/5 研*1 OK
12/6 出1台(6路-HA19112801)
</t>
      </text>
    </comment>
    <comment ref="C12" authorId="0" shapeId="0">
      <text>
        <t xml:space="preserve">guang:
4/9 入1台(YK)
guang:
6/10 入1台(YK)
9/19 入1台(YK)
9/24 入1台(YK)
12/18 入1台(YK)
1/3 入2台(YK)
3/12 入1台(YK)
3/19 入1台(YK)
4/1 入1台(YK)
4/10 入1台(YK)
4/28 入1台(YK)
5/7 入1台(YK)
10/27 入1台(YK)
11/9 入1台(YK)
21/2/2 入1台(YK)
4/19  入1台(YK)
4/20  入1台(YK)
4/29  入1台(YK)
5/4  入1台(YK)
5/12 入1台(YK)
5/14 入1台(YK)
</t>
      </text>
    </comment>
    <comment ref="D12" authorId="0" shapeId="0">
      <text>
        <t xml:space="preserve">guang:
3/18 M4*1 OK (408)
4/10 M4*1 OK (409)
6/11 M4*1 OK (409)
9/30 M4*1 OK (409)
10/7 M4*1 OK (409)
12/24 M4*1 OK (409)
1/6 M4*1 OK (409)
1/7 M4*1 OK (409)
3/19 M4*1 OK (17M)
3/20 M4*1 OK (17M)
4/7 M4*1 OK (17M)
4/15 M4*1 OK (409)
5/4 M4*1 OK (409)
5/22 M4*1 OK (409)
11/10 M4*1 OK (408)
11/11 M4*1 OK (408)
21/2/18 M4*1 OK (409)
4/19 M4*1 OK (813)
4/23 M4*1 OK (409)
4/29 M4*1 OK (409)
5/6 M4*1 OK (409)
6/10 M4*2 OK (409)
</t>
      </text>
    </comment>
    <comment ref="E12" authorId="0" shapeId="0">
      <text>
        <t xml:space="preserve">guang:
3/26 M3*1 OK(409)
4/17 M3*1 OK(523)
7/2 M3*1 OK(409)
10/14 M3*1 OK(523)
10/22 M3*1 OK(523)
1/02 M3*1 OK(523)
1/20 M3*1 OK(813)
2/3 M3*1 OK(523)
4/6 M3*1 OK(813)
4/15 M3*1 OK(523)
4/21 M3*1 OK(523)
4/29 M3*1 OK(523)
7/27 M3*1 OK(523)
8/4 M3*1 OK(523)
11/26 M3*1 OK(409)
12/7 M3*1 OK(409)
21/2/24 M3*1 OK(813)
4/23 M3*1 OK(813)
4/29 M3*1 OK(409-000400000641)
5/5 M3*1 OK(409-000400000650)
5/12 M3*1 OK(409-000400000719)
6/21 M3*1 OK(409-000400000819)
11/18 M3*1 OK(409-000400000793)
</t>
      </text>
    </comment>
    <comment ref="F12" authorId="0" shapeId="0">
      <text>
        <t xml:space="preserve">guang:
4/2 研磨*1 OK
4/3 出1台(6路-HA19032601)
5/2 研磨*1 OK
5/3 出1台(6路-HA19041701)
7/24 研磨*1 OK
8/19 出1台(6路-HA19070201)
10/23 研磨*1 OK
11/4 出1台(6路-HA19101401)
11/22 研磨*1 OK
12/17 出1台(6路-HA19102201)
1/10 研磨*1 OK
1/14 出1台(6路-HA20010201)
2/15 研磨*1 OK
2/20 出1台(6路-HA20020301)
2/21 研磨*1 OK
3/26 出1台(6路-HA20012001)
4/10 研磨OK*1
4/10 出1台(6路-HA20040601-27832)
5/14 研磨OK*1
5/21 研磨OK*1
5/27 研磨OK*1
9/7 出1台(6路-HA20042901-27732)
9/14 出1台(6路-HA20042201-27731)
9/30 研磨OK*1
10/20 出1台(6路-HA20080401-27807)
11/16 出1台(6路-HA20041501-27809)
11/30 研磨OK*1
12/14 研磨OK*1
21/2/4 出1台(6路-HA20072701-100000179)
2/26 出1台(6路-HA20120701-100000344-H08000425)
3/4 研磨OK*1
3/5 出1台(6路-HA201112601-100000308-H08000425)
3/9 研磨OK*1
3/11 出1台(6路-HA21010801-100000401-H08000424)
4/27 研磨OK*1
4/29 出1台(6路-HA21042301-100000477-000400000307)
5/11 出1台(6路-HA21042901-100000546-000400000641)
5/21 研磨OK*1(000400000719)
6/7 研磨OK*1(000400000650)
7/13 研磨OK*1(000400000819)
7/21 出1台(三廠-HA21062101-100000910-000400000819)
9/11 出1台(三廠-HA21051201-100000478-000400000719)
11/11 出1台(6路-HA21050501-100001078-000400000650)
11/25 研磨OK*1(000400000739)
12/6 出1台(6路-HA21111801-100001303-000400000739)
</t>
      </text>
    </comment>
    <comment ref="C13" authorId="0" shapeId="0">
      <text>
        <t xml:space="preserve">guang:
21/7/26 入1台(YZ)
8/6 入1台(YZ)
8/20 入1台(YZ)
10/8 入1台(YZ)
10/18 入1台(YZ)
10/25 入1台(YZ)
11/1 入1台(YZ)
11/10 入1台(YZ)
11/16 入1台(YK)
11/18 入1台(YZ)
12/3 入1台(YZ-#2000)
12/10 入1台(YZ-#2005)
12/13 入1台(YZ-#2040)
22/1/3 入1台(YZ-#2097)
2/14 入2台(YZ-#2263)
3/28 入1台(YZ-#2407)
4/8 入1台(YZ-#2407)
4/18 入1台(YZ-#2611)
4/25 入1台(YZ-#2667)
6/7 入1台(YZ-#2785)
6/17 入1台(YK-#2797)
6/23 入1台(LD-#2667)
6/30 入1台(YK-#2797)
10/7 入1台(SY-#5070)
10/23 入1台(SY-#5070)
10/28 入1台(SY-#5070)
12/5 入1台(SY-#5164)
12/12 入1台(SY-#5164)
guang:
25/1/2 入1台(SY-#5164)
3/12 入1台(SY-#5443)
3/21 入1台(SY-#5443)
4/15 入1台(SY-#5443)
4/25 入1台(SY-#5443)
</t>
      </text>
    </comment>
    <comment ref="D13" authorId="0" shapeId="0">
      <text>
        <t xml:space="preserve">guang:
21/7/26 M4*1 OK(813-1329)
8/7 M4*1 OK(409-00000)
8/23 M4*1 OK(409-1483)
10/11 M4*1 OK(409-1764)
10/19 M4*1 OK(409-1808)
11/1 M4*1 OK(408-1834)
11/12 M4*1 OK(408-1928)
11/17 M4*1 OK(408-1950-YK)
11/22 M4*1 OK(408)
12/17 M4*1 OK(410-2040)
12/20 M4*2 OK(410-2000-2005)
22/1/6 M4*1 OK(17M-2097)
2/18 M4*1 OK(17M-2263)
2/21 M4*1 OK(813-2263)
4/8 M4*2 OK(17M-#2407)
4/22 M4*1 OK(813-#2611)
5/30 M4*1 OK(17M-#2667)
guang:
guang:
7/5 M4*2 OK(17M-#2797)
7/6 M4*1 OK(17M-#2667)
7/6 M4*1 OK(17M-#2785)
10/11 M4*1 OK(17M-#5070)
10/22 M4*1 OK(410-#5070)
12/4 M4*1 OK(409-#5070)
12/6 M4*1 OK(813-#5164)
12/20 M4*1 OK(409-#5164)
25/1/2 M4*1 OK(409-#5164)
7/16 M4*1 OK(813-#5443)
7/17 M4*1 OK(813-#5443)
</t>
      </text>
    </comment>
    <comment ref="E13" authorId="0" shapeId="0">
      <text>
        <t xml:space="preserve">guang:
21/7/31 M3 OK(813-1329)
8/13 M3 OK(409-1396)
8/28 M3 OK(409-1483)
10/15 M3 OK(813-1764)
10/23 M3 OK(409-1808)
11/9 M3 OK(813-1834)
11/13 M3 OK(813-1881)
12/7 M3 OK(409-1950)
12/10 M3 OK(409-1953)
12/15 M3 OK(813-1928)
12/27 M3 OK(813-2000)
22/1/3 M3 OK(813-2040)
1/6 M3 OK(813-2005)
1/20 M3 OK(813-2097)
3/5 M3 OK(813-2263)
3/8 M3 OK(813-2263)
4/13 M3 OK(813-2407)
4/20 M3 OK(813-2407)
4/27 M3 OK(813-2611)
6/9 M3 OK(813-#2667)
7/13 M3 OK(813-#2797)
7/18 M3 OK(813-#2797)
7/21 M3 OK(813-#2785)
9/23 M3 OK(813-#2667)
guang:
9/4 入1台(YK-大陸加工-#4961)
10/22 M3 OK(410-#5070)
11/18 M3 OK(813-#5070)
12/10 M3 OK(409-#5070)
12/18 M3 OK(409-#5164)
25/1/7 M3 OK(813-#5164)
2/27 M3 OK(813-#5164)
5/20 M3 OK(813-#5443)
6/19 M3 OK(813-#5443)
8/14 M3 OK(409-#5443)
10/14 M3 OK(410-#5443)
hsinwei:
</t>
      </text>
    </comment>
    <comment ref="F13" authorId="0" shapeId="0">
      <text>
        <t xml:space="preserve">guang:
21/8/4 研磨OK(000400001329)
8/12 出1台(三廠-HA21073101-100000735-000400001329)
8/20 研磨OK(000400001396)
8/20 出1台(三廠-HA21073101-100000737-000400001396)
9/1 研磨OK(000400001483)
9/2 出1台(三廠-HA21082801-100000908-000400001483)
10/19 研磨OK(000400001764)
10/28 出1台(三廠-HA21101501-100000960-000400001764)
10/29 研磨OK(000400001808)
11/15 研磨OK(000400001834)
11/17 出1台(本廠-HA21110901-100000979-0004000001834)
11/19 出1台(本廠-HA21102301-100001225-0004000001808)
11/23 研磨OK(000400001881)
11/30 出1台(三廠-HA21111301-100001117-0004000001881)
12/16 研磨OK(000400001950)
12/16 出1台(三廠-HA21120701-100001049-0004000001950)
12/22 研磨OK(000400001953)
12/27 研磨OK(000400001928)
22/1/4 研磨OK(000400002000)
1/7 出1台(本廠-HA21122701-100001424-0004000002000)
1/25 出1台(本廠-HA21121501-100001467-0004000001928)
1/27 出1台(三廠-HA21121001-100001116-0004000001953)
1/18 研磨OK(000400002040)
1/24 研磨OK(000400002005)
1/27 研磨OK(000400002097)
3/9 出1台(本廠-HA22012001-100001417-0004000002097)
3/16 出1台(三廠-HA22010601-100001578-0004000002005)
3/16 研磨OK(000400002263)
3/18 出1台(三廠-HA22030501-100001579-0004000002263)
3/22 研磨OK(000400002263)
5/27 出1台(本廠-HA22030801-100001787-0004000002263)
5/27 研磨OK(000400002407)
6/2 研磨OK(000400002407)
6/8 研磨OK(000400002611)
7/21 研磨OK(000400002797)
7/28 研磨OK(000400002797)
9/16 研磨OK(000400002667)
9/23 研磨OK(000400002785)
10/13 出1台(本廠-HA22010301-100001788-0004000002040)
10/13 出1台(三廠-HA22042001-100002057-0004000002407)
guang:
001289:
11/25 研磨OK(000400002667)
23/1/16 出1台(本廠-HA22072101-100002157-000400002785)
2/22 出1台(本廠-HA22092301-100002248-000400002667)
3/6 出1台(三廠-HA22060901-100002260-0004000002667)
7/24 出1台(本廠-HA22041301-100002467-0004000002407)
24/2/27 出1台(本廠-HA22042701-100002716-0004000002611)
7/4 出1台(本廠-HA22071301-100002797-0004000002885)
8/16 出1台(本廠-HA22071801-100002945-0004000002797)
10/14 研磨OK(#4961-大陸加工)
10/22 出1台(本廠-大陸加工-100003033-0004000004961)
11/1 研磨OK(000400005070)
11/25 研磨OK(000400005070)
12/10 出1台(本廠-HA24111801-100003072-0004000005070)
12/24 研磨OK(000400005070)
25/1/6 出1台(本廠-HA24102201-100003061-0004000005070)
001289:
25/1/21 出1台(本廠-HA24121001-100003091-0004000005070)
1/21 研磨OK(000400005164)
2/4 出1台(三廠-HA25010701-100003062-0004000005164)
2/11 研磨OK(000400005164)
3/18 研磨OK(000400005164)
5/28 出1台(本廠-HA25022601-100003293-0004000005164)
5/28 研磨OK(000400005443)
7/10 研磨OK(000400005443)
9/9 研磨OK(000400005443)
12/4 出1台(本廠-HA24121801-100003464-0004000005164)
001280:
</t>
      </text>
    </comment>
    <comment ref="C14" authorId="0" shapeId="0">
      <text>
        <t xml:space="preserve">guang:
22/3/21 入2台(YK-#2310，#2409)
guang:
7/20 入1台(LD-#3723)
25/1/14 入1台(SY-#5286)
</t>
      </text>
    </comment>
    <comment ref="D14" authorId="0" shapeId="0">
      <text>
        <t xml:space="preserve">guang:
22/3/23 M4*1 OK(17M-#2310)
3/24 M4*1 OK(17M-#2409)
guang:
23/7/21 M4*1 OK(409-#3723)
</t>
      </text>
    </comment>
    <comment ref="E14" authorId="0" shapeId="0">
      <text>
        <t xml:space="preserve">guang:
22/3/29 M3*1 OK(813-#2310)
4/2 M3*1 OK(813-#2409)
guang:
23/7/27 M3*1 OK(409-#3723)
001289:
25/1/20 M3*1 OK(813-#5286)
</t>
      </text>
    </comment>
    <comment ref="F14" authorId="0" shapeId="0">
      <text>
        <t xml:space="preserve">guang:
22/4/1 研磨*1 OK(#2310)
4/6 出1台(本廠-HA22032901-100001544-000400002310)
4/11 研磨*1 OK(#2409)
5/4 出1台(本廠-HA22040201-100001599-000400002409)
23/8/1 研磨*1 OK(#3723)
8/3 出1台(本廠-HA23072701-100002460-000400003723)
25/2/6 研磨*1 OK(#5286)
2/7 出1台(本廠-HA25012001-100003104-000400005286)
guang:
</t>
      </text>
    </comment>
    <comment ref="C15" authorId="0" shapeId="0">
      <text>
        <t xml:space="preserve">
guang:
23/5/15 入1台(LD_#3553)
5/22 入1台(LD_#3561)
11/14 入1台(LD_#4030)
24/4/24 入1台(LD_#4470)
4/24 入1台(SY_#5029)
11/14 入1台(SY_#5137)
11/21 入1台(SY_#5137)
guang:
25/1/2 入1台(SY_#5246)
3/4 入1台(SY_#5445)
11/6 入1台(SY_#5983)</t>
      </text>
    </comment>
    <comment ref="D15" authorId="0" shapeId="0">
      <text>
        <t xml:space="preserve">
guang:
23/5/17 M4*1 OK(17M-#3553)
5/23 M4*1 OK(410-#3561)
11/21 M4*1 OK(813-#4030)
guang:
24/4/25 M4*1 OK(409-#4470)
9/26 M4*1 OK(17M-#5029)
11/15 M4*1 OK(17M-#5137)
11/21 M4*1 OK(17M-#5137)
25/1/14 M4*1 OK(813-#5246)
3/7 M4*1 OK(17M-#5445)
11/7 M4*1 OK(813-#5983)</t>
      </text>
    </comment>
    <comment ref="E15" authorId="0" shapeId="0">
      <text>
        <t>guang:
guang:
23/5/26 M3*1 OK(813-#3553)
5/30 出1台(台典研-HA23052601-100002359-#3553)
5/30 M3*1 OK(813-#3561)
5/31 出1台(台典研-HA23053001-100002360-#3561)
11/30 M3*1 OK(813-#4030)
12/5 出1台(台典研-HA23113001-100002574-#4030)
guang:
24/5/4 M3*1 OK(813-#4470)
5/10 出1台(台典研-HA24050401-100002774-#4470)
10/4 M3*1 OK(410-#5029)
5/10 出1台(台典研-HA24100401-100002946-#5029)
11/25 M3*1 OK(813-#5137)
11/26 出1台(台典研-HA24112501-100003038-#5137)
11/28 M3*1 OK(409-#5137)
11/28 出1台(台典研-HA24112801-100003039-#5137)
guang:
001289:
25/1/22 M3*1 OK(409-#5246)
2/18 出1台(台典研-HA25012201-100003187-#5246)
3/18 M3*1 OK(813-#5445)
11/13 M3*1 OK(813-#5983)</t>
      </text>
    </comment>
    <comment ref="F15" authorId="0" shapeId="0">
      <text>
        <t xml:space="preserve">
guang:
guang:
25/3/24 研磨*1 OK(#5445)
3/25 出本廠1台(HA25031801-100003090-#5445)
10/19 研磨*1 OK(#5983)
8/20 出本廠1台(HA25111301-100003408-#5983)</t>
      </text>
    </comment>
    <comment ref="C16" authorId="0" shapeId="0">
      <text>
        <t xml:space="preserve">guang:
5/8 入1台(YZ)
5/15 入1台(YZ)
6/28 入1台(YZ)
7/12 入1台(YZ)
8/11 入1台(YZ)
10/27 入1台(YZ)
5/29 入1台(YZ)
6/4 入1台(YZ)
7/16 入1台(YZ)
8/3 入1台(YZ)
9/27 入1台(YZ)
5/21 入1台(YZ)
6/18 入1台(YZ)
</t>
      </text>
    </comment>
    <comment ref="D16" authorId="0" shapeId="0">
      <text>
        <t xml:space="preserve">guang:
5/17 M4*1 OK(409)
6/30 M4*1 OK(409)
8/29 M4*2 OK(17M)
11/6 M4*1 OK(17M)
6/4 M4*1 OK(523)
6/21 M4*1 OK(523)
7/16 M4*1 OK(523)
8/30 M4*1 OK(17M)
10/5 M4*1 OK(408)
5/27 M4*1 OK(410)
6/19 M4*1 OK(523)
</t>
      </text>
    </comment>
    <comment ref="E16" authorId="0" shapeId="0">
      <text>
        <t xml:space="preserve">guang:
5/20 M3*1 (409)
5/23 M3*1 (409)
7/4 M3*1 (409)
9/11 M3*1 (409)
10/18 M3*1 (523)
11/13 M3*1 (409)
6/5 M3*1 (523)
6/27 M3*1 (523)
7/25 M3*1 (523)
7/26 出1台(轉台典研)(HA18072501) 
9/10 M3*1 (410)
10/24 M3*1 (523)
5/29 M3*1 (410)
7/15 M3*1 (409)
</t>
      </text>
    </comment>
    <comment ref="F16" authorId="2" shapeId="0">
      <text>
        <t>ralf:
4/18 出一台(本廠)
5/26 研磨*1OK(9018)
6/1 出一台(本廠)
6/2 研磨OK*1(9018)
6/6 出一台(本廠)
7/10 研磨OK*1
7/19 出一台(本廠)
9/18 出一台(本廠)
10/26 研磨ok*1(9018)
11/8 出1台(本廠)
12/8 出1台(本廠)
6/14 出1台(本廠)
7/25 出1台(本廠)
11/16 研磨OK*1
1/25 出1台(本廠-HA18102302)
5/20 出1台(本廠-HA18091001)
6/10 研磨OK*1
6/10 出1台(本廠-HA19052901)
7/10 研磨OK*1
22/5/25 機展退回*1(生鏽重磨)
7/11 出1台(本廠-HA19052901-重出-100000133)
guang:
25/1/17 出1台(三廠-HA19071501-100002935-#4157)</t>
      </text>
    </comment>
    <comment ref="C17" authorId="0" shapeId="0">
      <text>
        <t xml:space="preserve">guang:
3/3 入2台(YZ)
4/13 入1台(YZ)
4/17 入1台(YZ)
12/5 入1台(YZ)
12/7 入1台(YZ)
3/21 入1台(YZ)
5/4 入1台(YZ)
5/16 入1台(YZ)
7/16 入1台(YZ)
7/31 入1台(YZ)
8/27 入1台(YZ)
10/12 入1台(YZ)
10/24 入1台(YZ)
10/30 入1台(YZ)
11/5 入1台(YZ)
11/6 入2台(YZ)
11/12 入1台(YZ)
11/19 入1台(YZ)
11/26 入2台(YZ)
11/27 入1台(YZ)
1/13 入3台(YZ)
21/4/6 入1台(YZ)
4/26 入1台(YZ)
5/19 入1台(YZ)
22/2/8 入1台(YZ-2251)
4/21 入1台(LD-#2612)
4/27 入1台(LD-#2666)
5/11 入1台(LD-#2666)
5/12 入1台(LD-#2703)
23/6/19 入1台(LD-#3629)
25/10/21 入1台(LD-#5999)
</t>
      </text>
    </comment>
    <comment ref="D17" authorId="0" shapeId="0">
      <text>
        <t>guang:
3/14  M4*1 OK(409)
3/15  M4*1 OK(409)
6/2  M4*2 OK(409)
12/13 M4*2 OK(17M)
4/4 M4*1 OK(523)
5/14 M4*1 OK(523)
5/28 M4*1 OK(17M)
8/4 M4*2 OK(523)
9/6 M4*1 OK(523)
10/24 M4*1 OK(523)
10/30 M4*1 OK(410)
10/31 M4*1 OK(410)
11/14 M4*1 OK(408)
11/15 M4*3 OK(408)
11/26 M4*1 OK(523)
11/27 M4*2 OK(523)
1/16 M4*1 OK(409)
2/4 M4*2 OK(409)
21/4/9 M4*1 OK(409)
5/12 M4*1 OK(409)
7/1 M4*1 OK(409)
22/2/9 M4*1 OK(813-#2251)
4/23 M4*1 OK(17M-#2612)
4/28 M4*1 OK(813-#2666)
5/18 M4*1 OK(813-#2666)
5/27 M4*1 OK(17M-#2703)
8/4 M4*1 OK(409-#3629)
25/10/23 M4*1 OK(17M-#5999)</t>
      </text>
    </comment>
    <comment ref="E17" authorId="0" shapeId="0">
      <text>
        <t>guang:
3/30 M3*1 OK(409)
4/6 M3*1 OK(409)
6/6 M3*1 OK(409)
6/8 M3*1 OK(409)
6/20 M3*1 OK(409)
12/16 M3*1 OK(17M)
12/20 M3*1 OK(17M)
4/11 M3*1 OK(523)
4/13 出1台(轉台典磨)
5/16 M3*1 OK(523)
6/2 M3*1 OK(523)
8/7 M3*1 OK(523)
8/9 出1台(轉台典磨-HA18080702)
8/9 M3*1 OK(523)
8/21 出1台(轉隆升磨-HA18080902)
9/12 M3*1 OK(410)
10/31 M3*1 OK(523)
11/8 M3*1 OK(410)
11/13 M3*1 OK(410)
11/20 M3*1 OK(410)
11/23 M3*1 OK(410)
11/26 M3*1 OK(523)
11/29 M3*1 OK(523)
11/30 M3*1 OK(523)
12/4 M3*1 OK(523)
12/7 M3*1 OK(523)
12/11 M3*1 OK(523)
8/6 M3*1 OK(813)
8/11 M3*1 OK(813)
9/11 M3*1 OK(523)
21/4/20 M3*1 OK(409-H08000407)
5/28 M3*1 OK(409-000400000501)
7/15 M3*1 OK(409-000400000591)
22/2/14 M3*1 OK(409-000400002251)
5/3 M3*1 OK(409-000400002612)
5/6 M3*1 OK(409-000400002666)
5/27 M3*1 OK(813-000400002666)
6/10 M3*1 OK(409-000400002703)
8/17 M3*1 OK(409-000400003629)
25/10/29 M3*1 OK(17M-000400005999)</t>
      </text>
    </comment>
    <comment ref="F17" authorId="0" shapeId="0">
      <text>
        <t>guang:
3/31出1台(本廠)
5/10 研磨OK*1(13018)
5/15出1台(本廠)
6/28 研磨OK*1(9018)
7/14出1台(本廠)
8/7 出1台(3廠)
ralf:
8/10 研磨OK*1
8/15研磨OK*1
9/21 出1台(3廠)
2/8 出1台(6路)
3/14 出1台(6路)
5/24 出1台(3廠)
6/5 出1台(6路)
7/6 出1台(3廠)
11/12 出1台(6路)
11/19 研磨*1 OK
11/19 出1台(6路)
11/22 研磨*1 OK
11/22 出1台(6路)
11/26 研磨*1 OK
11/30 研磨*1 OK
12/5 研磨*1 OK
12/13 研磨*1 OK
4/3 出1台(3廠-HA18112901)
12/10 出1台(6路-HA18013001)
2/19 出1台(6路-HA18110802)
9/30 出1台(6路-HA18112001-27839)
12/11 出1台(6路-HA18120401-26787)
21/1/5 研磨*1 OK
1/8 研磨*1 OK
1/14 研磨*1 OK
2/5 出1台(6路-HA18112601-100000248)
3/4 出1台(6路-HA18121101-100000216)
3/22 隆升入1台
3/23 出1台(6路-HA18112301-100000425)
3/24 出1台(3廠-HA19030501-100000298)
4/9 隆升出1台(O-210316016)(100000485)
3/22 研磨*1 OK
3/25 研磨*1 OK
4/14 研磨*1 OK
5/6 出1台(6路-HA20080801-100000395)
5/6 出1台(6路-HA20091101-100000396)
7/19 入1台(6路-HA18121101-100000216)
7/14 研磨*1 OK(000400000501)
8/02 研磨*1 OK(000400000591)
9/13 出1台(3廠-HA21071501-100000941-00040000591)
22/1/4 出1台(本廠-HA18121101-100001266-00040000)
1/5 出1台(3廠-HA21052801-100001267-000400000501)
1/7 出1台(3廠-HA20081101-100000902-00040000)
2/21 研磨*1 OK(000400002251)
3/29 出1台(3廠-HA21041901-100001656-H08000407)
4/25 出1台(3廠-HA22021401-100001436-000400002251)
5/9 研磨*1 OK(000400002612)
5/9 出1台(3廠-HA220250301-100001437-000400002612)
5/13 研磨*1 OK(000400002666)
6/7 研磨*1 OK(000400002666)
7/5 研磨*1 OK(000400002703)
guang:
23/1/3 出1台(3廠-HA22061001-100002087-000400002703)
3/16 出1台(3廠-HA22052701-100002292-000400002666)
9/18 研磨*1 OK(000400003629)
24/4/22出1台(本廠-HA22050601-100002782-000400002666)
guang:
25/3/24 出1台(3廠-HA23081701-100003244-000400003629)
11/13 研磨*1 OK(000400005999)
11/13出1台(本廠-HA25103001-100003406-000400005999)</t>
      </text>
    </comment>
    <comment ref="C18" authorId="0" shapeId="0">
      <text>
        <t xml:space="preserve">guang:
23/12/4 入1台(LD-#4091)
</t>
      </text>
    </comment>
    <comment ref="D18" authorId="0" shapeId="0">
      <text>
        <t xml:space="preserve">guang:
23/12/5 M4*1 OK(813)
</t>
      </text>
    </comment>
    <comment ref="E18" authorId="0" shapeId="0">
      <text>
        <t xml:space="preserve">guang:
23/12/22 M3*1 OK(813-#4091)
guang:
</t>
      </text>
    </comment>
    <comment ref="F18" authorId="0" shapeId="0">
      <text>
        <t xml:space="preserve">guang:
24/1/3 研磨OK*1(#4091)
1/4 出1台(本廠-10000 -#4091) </t>
      </text>
    </comment>
    <comment ref="C19" authorId="0" shapeId="0">
      <text>
        <t xml:space="preserve">guang:
3/15 入1台YJF
3/17 入1台CFC
3/21  入1台(YJF)
3/23  入1台(YJF)
ralf:
4/17 入1(永棧)
guang:
8/2  入1台(YJF)
8/11  入1台(YJF)
8/18  入1台(YJF)
9/28  入2台(YJF)
12/1  入2台(CFC)
12/13  入2台(YJF)
12/22  入1台(YJF)
1/3  入1台(YJF)
3/12  入1台(YJF)
3/23 入1台(YJF)
4/30 入1台(YJF)
5/31 入1台(YJF)
6/28 入1台(YJF)
7/10 入1台(YJF)
8/3 入1台(YJF)
9/5 入1台(YJF)(長度注意)
9/17 入2台(CFC)
10/29 入1台(CFC)
11/29 入1台(CFC)
12/10 入1台(CFC)
12/19 入1台(CFC)
1/7 入1台(CFC)
2/19 入2台(YJF)
2/20 入1台(CFC)
3/7 入2台(CFC)
3/15 入1台(YJF)
4/9 入1台(CFC)
4/11 入1台(YJF)
5/10 入1台(YJF)
5/15 入2台(YJF)
5/16 入1台(YJF)
7/1 入3台(YJF)
7/10 入1台(YJF)
7/12 入1台(CFC)
7/22 入1台(CFC)
8/28 入2台(YJF)
8/29 入1台(CFC)
11/6 入1台(YJF)
3/9 入1台(YJF)
3/12 入1台(YJF)
3/13 入1台(YJF)
3/19 入1台(YJF)
4/20 入1台(CFC)
4/21 入1台(CFC)
8/10 入1台(CFC)
9/8 入1台(CFC)
11/26 入1台(CFC)
12/11 入2台(YJF)
21/1/5 入1台(CFC)
1/25 入1台(YJF)
2/23 入1台(YJF)
3/23 入1台(YJF)
4/23 入1台(YJF)
6/7 入1台(YJF)
6/9 入1台(YJF)
6/24 入2台(YJF)
6/29 入1台(YJF)
6/30 入1台(YJF)
22/3/21 入1台(JS-#2231)
4/6 入1台(YJF-#2566)
4/13 入2台(YJF-#2624)
6/29 入2台(YJF-#2907)
23/5/6 入1台(YJF-#3496)
6/1 入1台(YJF-#3576)
7/11 入1台(JS-#3589)
7/20 入1台(JS-#3589)
24/2/29 入1台(YJF-#4333)
2/29 入1台(YJF-#4362)
8/2 入2台(YJF-#4884)
10/4 入1台(YJF-#5060)
11/28 入1台(YJF-#5229)
</t>
      </text>
    </comment>
    <comment ref="D19" authorId="0" shapeId="0">
      <text>
        <t xml:space="preserve">guang:
3/9 M4*2 OK(813)
3/16 M4*1 OK(409)
5/3 M4*2 OK(409)
8/9 M4*1 OK(813)
8/25 M4*2 OK(17M)
10/11 M4*1 OK(523)
10/12 M4*1 OK(523)
12/13 M4*1 OK(17M)
12/20 M4*2 OK(813)
12/22 M3*1 OK(17M)
12/28 M4*1 OK(813)
4/7 M4*1 OK(523)
4/9 M4*1 OK(523)
5/21 M4*2 OK(523)
6/21 M4*1 OK(523)
7/12 M4*2 OK(410)
7/13 M4*1 OK(410)
8/30 M4*1 OK(17M)
9/18 M4*3 OK(17M)
10/31 M4*1 OK(410)
12/11 M4*2 OK(523)
12/24 M4*1 OK(523)
1/17 M4*1 OK(409)
2/21 M4*1 OK(408)
2/22 M4*2 OK(408)
3/12 M4*2 OK(409)
3/21 M4*2 OK(523)
4/10 M4*1 OK(523)
4/15 M4*2 OK(409)
5/16 M4*2 OK(813)
5/17 M4*2 OK(813)
7/3 M4*2 OK(409)
7/8 M4*1 OK(523)
7/16 M4*1 OK(408)
7/17 M4*1 OK(408)
8/29 M4*1 OK(523)
9/2 M4*1 OK(523)
10/16 M4*1 OK(409)
12/3 M4*1 OK(409)
3/12 M4*2 OK(523)
3/20 M4*1 OK(17M)
3/23 M4*1 OK(17M)
4/24 M4*2 OK(523)
8/13 M4*1 OK(813)
9/14 M4*1 OK(813)
12/7 M4*1 OK(408)
12/16 M4*2 OK(408)
21/1/6 M4*1 OK(17M)
1/29 M4*1 OK(813)
2/24 M4*1 OK(813)
3/26 M4*1 OK(813)
5/13 M4*1 OK(409)
9/30 M4*1 OK(813-1180)
10/14 M4*1 OK(17M-1182)
10/15 M4*2 OK(408-1723)
10/16 M4*2 OK(408-1723)
22/4/9 M4*1 OK(17M-#2231)
4/9 M4*1 OK(17M-#2566)
5/5 M4*2 OK(17M-#2624)
7/7 M4*2 OK(17M-#2907)
guang:
23/5/11 M4*1 OK(409-#3496)
5/22 M4*1 OK(409-#3496)
6/7 M4*1 OK(813-#3576)
7/18 M4*1 OK(813-#3589)
8/3 M4*1 OK(409-#3589)
guang:
24/4/26 M4*1 OK(17M-#4362)
4/29 M4*1 OK(17M-#4362)
8/14 M4*1 OK(17M-#4884)
8/15 M4*1 OK(17M-#4884)
10/8 M4*1 OK(17M-#5060)
12/2 M4*1 OK(409-#5229)
</t>
      </text>
    </comment>
    <comment ref="E19" authorId="0" shapeId="0">
      <text>
        <t xml:space="preserve">guang:
4/17 M3*1OK(409)
4/24 M3*1 OK(523)
5/2 M3*1OK(409)
5/25 M3*1 OK(523)
5/26 M3*1OK(409)
6/6 M3*1 OK(523)
8/22 M3*1 OK(523)
9/5 M3*1 OK(523)
9/27 M3*1 OK(523)
10/16 M3*1 OK(523)
10/19 M3*1 OK(523)
12/25 M3*1 OK(813)
1/4 M3*1 OK(523)
1/8 M3*1 OK(523)
4/13 M3*1 OK(523)
4/16 M3*1 OK(523)
5/24 M3*1 OK(523)
5/28 M3*1 OK(523)
6/29 M3*1 OK(523)
7/18 M3*1 OK(523)
7/23 M3*1 OK(523)
7/27 M3*1 OK(523)
9/17 M3*1 OK(410)
10/2 M3*1 OK(410)
10/4 M3*1 OK(410)
10/22 M3*1 OK(523)
11/16 M3*1 OK(410)
11/20 出2台(轉隆升研-HA18102201,HA18111601-立柱孔深有確認OK)
12/14 M3*1 OK(523)
12/19 M3*1 OK(523)
12/28 M3*1 OK(523)
1/30 M3*1 OK(409)
3/4 M3*1 OK(523)
3/7 M3*1 OK(523)
3/12 M3*1 OK(523)
3/29 M3*1 OK(409,17m)
4/2 出1台(轉台典研-HA19032902)
4/9 M3*1 OK(523)
4/10 M3*1 OK(523)
4/19 M3*1 OK(409)
5/6 M3*1 OK(523)
5/22 M3*1 OK(813)
5/24 M3*1 OK(410)
6/5 M3*1 OK(813)
6/12 M3*1 OK(410)
7/8 M3*1 OK(409)
7/10 M3*1 OK(409)
7/17 M3*1 OK(523)
7/19 M3*1 OK(409)
7/25 M3*1 OK(409)
8/2 M3*1 OK(523)
9/19 M3*1 OK(523)
9/26 M3*1 OK(523)
10/29 M3*1 OK(523)
12/12 M3*1 OK(409)
3/19 M3*1 OK(523)
3/26 M3*1 OK(523)
4/1 M3*1 OK(409)
5/28 M3*1 OK(409)
7/10 M3*1 OK(523)
7/17 M3*1 OK(523)
9/4 M3*1 OK(523)
9/25 M3*1 OK(409)
12/14 M3*1 OK(409)
21/1/6 M3*1 OK(409)
1/29 M3*1 OK(409)
2/4 M3*1 OK(409)
2/18 M3*1 OK(409)
3/3 M3*1 OK(409-加支撐機構)
4/1 M3*1 OK(813-000400000380)
6/2 M3*1 OK(409-000400000380)
9/23 M3*1 OK(409-000400000380)
10/14 M3*1 OK(17M-000400001180)
10/21 M3*1 OK(17M-000400001182)
10/26 M3*1 OK(17M-000400001723)
10/29 M3*1 OK(17M-000400001723)
11/2 M3*1 OK(17M-000400001723)
22/4/16 M3*1 OK(813-#2231)
5/10 M3*1 OK(409-#2566)
5/13 M3*1 OK(409-#2624)
6/7 M3*1 OK(409-#2624)
8/23 M3*1 OK(409-#2907)
8/26 M3*1 OK(409-#2907)
23/5/22 M3*1 OK(409-#3496)
8/3 M3*1 OK(409-#3576)
9/14 M3*1 OK(409-#3589)
9/21 M3*1 OK(409-#3589)
guang:
24/7/3 M3*1 OK(17M-#4362)
7/8 M3*1 OK(17M-#4333)
8/20 M3*1 OK(17M-#4884)
8/23 M3*1 OK(17M-#4884)
11/1 M3*1 OK(409-#5060)
12/31 M3*1 OK(409-#5229)
</t>
      </text>
    </comment>
    <comment ref="F19" authorId="0" shapeId="0">
      <text>
        <t xml:space="preserve">guang:
8/1  研磨OK*1
8/21 研磨OK*1
9/13 出1台(三廠)
9/21 研磨OK*1 13018
9/28 出1台(三廠)
10/25 出1台(三廠)
10/27 出1台(三廠)
11/1 研磨OK*1(9018)
1/5 出1台(三廠)
1/16 出1台(三廠)
1/30 出1台(三廠)
2/12 出1台(三廠)
2/22 出1台(三廠)
3/9 出1台(三廠)
4/16 出1台(三廠)
4/25 出1台(三廠)
7/2 出1台 (三廠)
7/2 研磨OK*1
7/4 出1台 (三廠)
7/25 出1台 (三廠)
7/19 研磨OK*1
8/6 出1台 (三廠)
8/15 研磨OK*1
8/20 出1台 (三廠)
9/21 研磨OK*1
10/4 出1台 (三廠)
10/23 出1台 (三廠)
10/29 出1台 (三廠)
10/30 研磨OK*1
11/2 出1台 (6路)
11/2 研磨OK*1
11/13 出1台 (三廠)
11/15 研磨OK*1
12/14 出1台 (6路)
12/22 研磨OK*1
12/22 出1台 (6路)
12/27 研磨OK*1
1/28 出1台 (三廠-HA18121902)
1/31 研磨OK*1
1/31 出1台 (三廠-HA18122801)
2/14 研磨OK*1
2/14 出1台 (6路-HA18122801)
3/14 研磨OK*1
3/14 出1台 (三廠-HA19030401)
3/25 研磨OK*1
3/14 出1台 (三廠-HA19031201)
3/28 研磨OK*1
3/29 出1台 (三廠-HA19030701)
4/17 研磨OK*1
4/18 出1台 (6路-HA19040901)
4/24 研磨OK*1
5/9 出1台 (三廠-HA19041001)
5/15 研磨OK*1
5/20 研磨OK*1
6/3 出1台 (三廠-HA19041901)
6/4 出1台 (6路-HA19050601)
6/17 研磨OK*1
6/17 出1台 (三廠-HA19032902)
6/20 研磨OK*1
6/21 出1台 (三廠-HA19061201)
6/24 研磨OK*1
6/24 出1台 (三廠-HA19050701)
6/26 研磨OK*2
6/27 出2台 (三廠-HA19052201，HA19060502)
7/12 研磨OK*1
7/12 出1台 (三廠-HA19070801)
7/17 研磨OK*1
7/17 出1台 (6路-HA19042401)
7/27 研磨OK*1
8/12 研磨OK*1
8/20 出1台 (三廠-HA19071702)
9/11 出1台 (三廠-HA19071902)
9/17 研磨OK*1
9/30 研磨OK*1
10/16 出1台 (三廠-HA19080202)
10/17 研磨OK*1
11/25 出1台 (三廠-HA19092601)
11/26 出1台 (三廠-HA19072501)
12/2 研磨OK*1
12/16 研磨OK*1
12/24 研磨OK*1
1/20 出1台 (三廠-HA19121201)
2/6 出1台 (三廠-HA19091901)
3/5 出1台 (三廠-HA19102901)
4/28 研磨OK*1
5/5 研磨OK*1
6/8 出1台(本廠-HA20032601-機號:28132)
6/19 研磨OK*1
6/23 出1台 (本廠-HA20031901-機號:27836)
7/6 研磨OK*1
8/21 出1台(三廠-HA20052801-機號:27877)
8/26 出1台 (本廠-HA20040101-機號:27837)
9/11 研磨OK*1
9/16 研磨OK*1
10/12 研磨OK*1
10/23 出1台 (本廠-HA20090401-機號:27878)
11/5 出1台(三廠-HA20071001-機號:27912)
11/18 研磨OK*1
12/3 出1台(三廠-HA20092501-機號:27767)
21/1/8 出1台 (三廠-HA20071701-機號:100000183)
1/18 研磨OK*1
1/19 出1台 (三廠-HA21010601-機號:100000206)
1/27 研磨OK*1
1/27 出1台 (三廠-HA20121401-機號:100000243)
2/4 研磨OK*1
2/5 出1台 (三廠-HA21012901-工號:100000244)
2/19 研磨OK*1
3/10 出1台 (三廠-HA21020401-工號:100000279)
3/16 研磨OK*1-加支撐機構
3/3 研磨OK*1
5/4 研磨OK*1
5/14 出1台 (三廠-HA21040101-100000764-000400000380)
3/23 研磨OK*1
7/1 出1台 (三廠-HA21021801-100000919-000400000380)
7/5 研磨OK*1(000400000380)
10/13 研磨OK*1(000400000380)
11/22 出1台 (三廠-HA21030301-100000181-000400000144-國盈)
12/2 出1台 (三廠-HA21060201-100001313-000400000380)
12/13 研磨OK*1(000400001723)
22/1/5 研磨OK*1(000400001182)
1/27 出1台 (三廠-HA21102101-100001173-000400001182)
1/25 研磨OK*1(000400001723)
2/16 出1台 (三廠-HA21092301-100001541-000400000380)
2/15 研磨OK*1(000400001723)
3/8 出1台 (三廠-HA21102601-100001334-000400001723)
4/8 出1台 (三廠-HA21102901-100001868-000400001723)
4/15 研磨OK*1(000400001180)
4/29 出1台 (三廠-HA21101401-100001743-000400001180)
5/9 出1台 (三廠-HA21110201-100001453-000400001723)
5/11 研磨OK*1(000400002231)
5/17 出1台 (三廠-HA22041601-100001454-000400002231)
5/20 研磨OK*1(000400002566)
5/20 出1台 (三廠-HA22051001-100001790-000400002566)
5/24 研磨OK*1(000400002624)
6/16 研磨OK*1(000400002624)
001289:
9/05 研磨OK*1(000400002907)
guang:
9/12 研磨OK*1(000400002907)
11/14 出1台 (三廠-HA22082601-100002093-000400002907)
guang:
23/3/24 出1台 (本廠-HA22051301-100002293-000400002624)
3/27 出1台 (三廠-HA22082301-100002291-000400002907)
5/9 出1台 (三廠-HA22060701-100002275-000400002624)
6/13 研磨OK*1(000400003496)
8/29 研磨OK*1(000400003576)
9/11 出1台 (三廠-HA23080301-100002546-000400003576)
9/27 研磨OK*1(000400003589)
10/4 出1台 (三廠-HA23091401-100002308-000400003589-5BC)
10/27 出1台 (三廠-HA23052201-100002562-000400003496)
10/23 研磨OK*1(000400003589)
24/4/25 出1台 (三廠-HA23092101-100002813-000400003589)
7/15 研磨OK*1(000400004362)
7/17 出1台 (三廠-HA24070301-100002872-000400004362)
7/31 研磨OK*1(000400004333)
8/1 出1台 (三廠-HA24070801-100002724-000400004333)
9/2 研磨OK*1(000400004884)
9/9 出1台 (三廠-HA24071701-100002904-000400004884)
10/11 研磨OK*1(000400004884)
11/14 研磨OK*1(000400005060)
11/19 出1台 (三廠-HA24110101-100003043-000400005060)
25/2/6 研磨OK*1(000400005229)
2/7 出1台(廠內展用-HA24082301-000400004884)轉(100003321)
2/8 出1台(廠內展用-HA24123101-000400005229)
6/4 入1台(廠內展用-HA24123101-000400005229)暫放出貨
</t>
      </text>
    </comment>
    <comment ref="C20" authorId="0" shapeId="0">
      <text>
        <t xml:space="preserve">guang:
1/22 入1台(YJF)
3/9 入1台(YJF)
3/28 入1台(YJF)
7/18 入1台(YJF)
</t>
      </text>
    </comment>
    <comment ref="D20" authorId="0" shapeId="0">
      <text>
        <t xml:space="preserve">guang:
3/23 M4*1 OK(17M)
3/30 M4*1 OK(17M)
8/30 M4*1 OK(17M)
</t>
      </text>
    </comment>
    <comment ref="E20" authorId="0" shapeId="0">
      <text>
        <t xml:space="preserve">guang:
2/5 M3*1 OK(409)
3/27 M3*1 OK(523)
9/14 M3*1 OK(523-H08000411)
9/19 M3*1 OK(523-H08000411)
guang:
</t>
      </text>
    </comment>
    <comment ref="F20" authorId="0" shapeId="0">
      <text>
        <t xml:space="preserve">guang:
3/22 出1台
5/23 出1台(三廠)
guang:
24/4/25 出1台(三廠-10000-#4160)
</t>
      </text>
    </comment>
    <comment ref="C21" authorId="0" shapeId="0">
      <text>
        <t xml:space="preserve">guang:
11/3 入1台(CFC)
11/29 入1台(CFC)
12/16 入1台(YJF)
4/28 入1台(CFC)
11/27 入2台(YJF)
22/4/6 入1台(YJF-#2567)
23/8/1 入1台(YJF-#3738)
12/7 入1台(YJF-#4103)
12/14 入1台(YJF-#4103)
guang:
24/5/23 入2台(YJF-#4607)
25/6/6 入1台(YJF-#5798)
</t>
      </text>
    </comment>
    <comment ref="D21" authorId="0" shapeId="0">
      <text>
        <t xml:space="preserve">guang:
11/6 M4*1 OK(17M)
12/17 M4*1 OK(523)
5/18 M4*1 OK(523)
12/7 M4*1 OK(408)
22/4/11 M4*1 OK(17M-#2567)
23/8/2 M4*1 OK(17M-#3738)
12/8 M4*1 OK(17M-#4103)
12/18 M4*1 OK(17M-#4103)
guang:
24/5/27 M4*2 OK(17M-#4607)
25/6/6 M4*1 OK(813-#5798)
</t>
      </text>
    </comment>
    <comment ref="E21" authorId="2" shapeId="0">
      <text>
        <t xml:space="preserve">ralf:
409旁
3/9 M3*1 OK(813)
7/4 M3*1 OK(523)
11/10 M3*1 OK(523)
12/24 M3*1 OK(523)
12/23 M3*1 OK(523)
5/29 M3*1 OK(523)
12/18 M3*1 OK(409)
12/24 M3*1 OK(409)
guang:
22/6/15 M3*1 OK(813-#2567)
23/8/9 M3*1 OK(17M-#3738)
12/14 M3*1 OK(17M-#4103)
12/27 M3*1 OK(17M-#4103)-預計#2493
24/6/6 M3*1 OK(409-#4607)
6/11 M3*1 OK(17M-#4607)
25/6/12 M3*1 OK(813-#5798)
</t>
      </text>
    </comment>
    <comment ref="F21" authorId="0" shapeId="0">
      <text>
        <t xml:space="preserve">guang:
3/24 出1台
8/3 研磨OK*1 9018
1/4 研磨OK*1
3/22 出1台(HA17070402)
8/29 出1台(三廠-HA18122401)
11/19 出1台(三廠-HA17030802)
5/25 出1台(三廠-HA17110902-機號:28101)
6/11 研磨 OK
6/30 研磨 OK
11/5 出1台(三廠-HA19022301-機號:28335)
11/9 出1台(三廠-HA20052901-機號:28336)
21/8/20 出1台(三廠-HA20122401-100000742-H08000399)
22/8/3 研磨 OK(000400002567)
23/4/10 出1台(三廠-HA20121801-100002356-H08000399)
6/7 出1台(三廠-HA22061501-100002437-000400002567)
8/21 研磨 OK(000400003738)
8/21 出1台(三廠-HA23080901-100002617-000400003738)
24/1/3 研磨 OK(000400004103)
1/9 出1台(本廠-HA23121401-100002616-000400004103)
1/11 研磨 OK(000400004103)-預計#2493
4/2 出1台(三廠-HA23122701-100002493-000400004103)
6/17 研磨 OK(000400004607)
6/17 出1台(三廠-HA24060601-100002804-000400004607)
6/24 研磨 OK(000400004607)
6/24 出1台(三廠-HA24061101-100002805-000400004607)
25/6/20 研磨 OK(000400005798)
6/20 出1台(三廠-HA250612-100003290-000400005798)
</t>
      </text>
    </comment>
    <comment ref="I21" authorId="0" shapeId="0">
      <text>
        <t xml:space="preserve">guang:
1/11 研磨 OK(000400004103)-預計#2493
出1台(三廠-HA23122701-100002493-000400004103)
</t>
      </text>
    </comment>
    <comment ref="C22" authorId="0" shapeId="0">
      <text>
        <t xml:space="preserve">guang:
2/9 入1台(YZ)-光
3/6 入1台(YZ)-光
4/20 入1台(YZ)
01/02 入1台(YZ)
01/04 入1台(YZ)
01/19 入1台(YZ)
2/6 入1台(YZ)
2/12 入1台(YZ)
4/25 入1台(YZ)
5/15 入1台(YZ)
7/9 入1台(YZ)
7/19 入1台(YZ)
4/9 入1台(YZ)
22/4/25 入1台(LD-#2665)
5/6 入1台(LD-#2730)
8/5 入1台(LD-#3005)
23/3/3 入1台(LD-#3420)
4/28 入1台(LD-#3503)
10/23 入1台(LD-#3969)
24/10/1 入1台(LD-#5024)
12/18 入1台(LD-#5276)
25/10/15 入1台(LD-#5998)
</t>
      </text>
    </comment>
    <comment ref="D22" authorId="0" shapeId="0">
      <text>
        <t xml:space="preserve">guang:
3/9 M4*1 OK(813)
5/22 M4*1 OK(523)
1/9 M4*2 OK(523)
1/30 M4*1 OK(17M)
2/23 M4*1 OK(17M)
3/10 M4*1 OK(523)
5/14 M4*1 OK(523)
6/20 M4*1 OK(523)
8/29 M4*2 OK(17M)
4/22 M4*1 OK(813)
22/5/3 M4*1 OK(813-#2665)
5/9 M4*1 OK(17M-#2730)
8/6 M4*1 OK(17M-#3005)
23/3/6 M4*1 OK(813-#3420)
4/28 M4*1 OK(17M-#3503)
10/24 M3*1 OK(813-#3969)
guang:
24/10/2 M4*1 OK(17M-#5024)
12/20 M4*1 OK(17M-#5276)
25/10/16 M4*1 OK(17M-#5998)
</t>
      </text>
    </comment>
    <comment ref="E22" authorId="0" shapeId="0">
      <text>
        <t>guang:
2/17 轉台典研磨*1台
3/14 M3*1 OK(813)
6/9 M3*1 OK(813)
1/11 M3*1 OK(523)
1/15 M3*1 OK(523)
3/6 M3*1 OK(523)
3/22 M3*1 OK(523)
3/23 M3*1 OK(523)(813 A4)
5/21 M3*1 OK(523)
6/25 M3*1 OK(523)
9/4 M3*1 OK(523)
9/6 M3*1 OK(523)
5/8 M3*1 OK(523)
22/5/3 M3*1 OK(813-#2665)
5/13 M3*1 OK(813-#2730)
8/12 M3*1 OK(17M-#3005)
23/3/14 M3*1 OK(813-#3420)
5/9 M3*1 OK(17M-#3503)
10/30 M3*1 OK(813-#3969)
guang:
24/10/9 M3*1 OK(17M-#5024)
12/26 M3*1 OK(17M-#5276)
25/10/23 M3*1 OK(17M-#5998)</t>
      </text>
    </comment>
    <comment ref="F22" authorId="2" shapeId="0">
      <text>
        <t>ralf:
4/17 送台典研磨*1
guang:
8/9 出1台(3廠)
8/25 研磨OK*1
12/20 出1台(本廠)
2/1 出1台(本廠)
2/8 出1台(3廠)
3/14 出1台(3廠)
5/17 出1台(三廠)
5/29 出1台(三廠)
6/12 出1台(三廠)
8/22 出1台 (三廠)
9/14 研磨OK*1
9/20 研磨OK*1
9/21 出1台 (三廠)
4/9 出1台 (三廠-HA18090602-27838)
7/13 研磨OK*1
21/1/20 出1台(三廠-HA20050701-100000242)
22/5/5 研磨OK*1(#2665)
5/5 出1台(三廠-HA22050301-100001582-000400002665)
5/18 研磨OK*1(#2730)
5/18 出1台(三廠-HA22051301-100001583-000400002730)
8/24 研磨OK*1(#3005)
8/24 出1台(三廠-HA22081201-100001942-000400003005)
23/3/22 研磨OK*1(#3420)
3/22 出1台(三廠-HA23031401-100002247-000400003420)
5/22 研磨OK*1(#3503)
5/24 出1台(三廠-HA23050901-100002321-000400003503)
11/8 研磨OK*1(#3969)
11/9 出1台(三廠-HA23103001-100002504-000400003969)
24/10/17 研磨OK*1(#5024)
10/17 出1台(三廠-HA24100701-100002950-000400005024)
25/1/9 研磨OK*1(#5276)
1/10 出1台(三廠-HA24122601-100003083-000400005276)
11/4 研磨OK*1(#5998)
11/5 出1台(本廠-HA25092701-100003402-000400005998)</t>
      </text>
    </comment>
    <comment ref="C23" authorId="0" shapeId="0">
      <text>
        <t>guang:
4/19入1(YJF)
4/21 入1台 (YJF)
5/9 入1台(YJF)
5/22 入1台(CFC)
6/01 入1台(YJF)
6/13 入1台(CFC)
6/21 入1台(CFC)
7/03 入1台(YJF)
7/17 入1台(YJF)
8/14 入2台(YJF)
8/16 入1台(CFC)
8/21 入1台(CFC)
9/18 入1台(CFC)
10/13 入1台(CFC)
12/12 入1台(YJF)
12/15 入1台(YJF)
12/18 入2台(YJF)
12/22 入1台(YJF)
1/8 入1台(YJF)
1/31 入1台(YJF)
3/12 入1台(YJF)
4/12 入1台(YJF)
5/17 入1台(YJF)
6/19 入2台(YJF)
6/20 入1台(YJF)
6/25 入1台(YJF)
6/28 入1台(YJF)
7/4 入1台(YJF)
7/6 入1台(YJF)
7/13 入1台(YJF)
7/18 入1台(YJF)
8/28 入2台(CFC)
12/7 入1台(YJF-新模)
6/6 入1台(YJF-新模)
6/20 入1台(YJF)
7/18 入1台(YJF)
1/9 入1台(CFC)
1/13 入1台(CFC)
7/27 入1台(CFC)
8/3 入1台(CFC)
8/6 入1台(CFC)
9/8 入1台(CFC)
10/26 入1台(CFC)
11/4 入2台(YJF)
21/1/5 入1台(CFC)
1/25 入1台(YJF)
2/3 入1台(CFC)
2/26 入1台(YJF)
4/21 入1台(YJF)
4/23 入1台(YJF)
5/26 入1台(YJF)
6/2 入1台(YJF)
6/17 入1台(YJF)
7/14 入1台(YJF)
7/19 入1台(YJF)
22/3/4 入2台(YJF-#2371)
3/11 入1台(JS-#2230)
3/16 入1台(YJF-#1264)
3/18 入1台(YJF-#2474)
3/29 入1台(YJF-#2539)
4/26 入1台(YJF-#2686)
23/1/12 入1台(YJF-#3338)
5/6 入1台(YJF-#3519)
5/11 入1台(YJF-#3539)
7/13 入1台(YJF-#3713)
7/18 入1台(YJF-#3714)
24/2/29 入1台(YJF-#4335)
4/16 入1台(YJF-#4490)
8/27 入1台(YJF-#4918)
8/29 入1台(YJF-#4918)
10/4 入1台(YJF-#5049)
25/2/7 入1台(YJF-#5407)
3/24 入1台(YJF-#5529)
5/8 入1台(YJF-#5700)
11/13 入1台(YJF-#6024)
12/3 入1台(YJF-#6024)
26/1/6 入1台(YJF-#6151)</t>
      </text>
    </comment>
    <comment ref="D23" authorId="2" shapeId="0">
      <text>
        <t>ralf:
4/17 M4*2OK(813)
4/24 M4*1 OK(523)
5/3 M4*1 OK(523)
5/12 M4*1 OK(813)
5/26 M4*1 OK(523)
6/6 M4*1 OK(523)
6/14 M4*1 OK(523)
6/26 M4*1 OK(523)
7/5 M4*1 OK(523)
7/25 M4*1 OK(813)
8/15 M4*2 OK (17M)
8/24 M4*1 OK (17M)
ralf:
8/24 M4*1 OK(17米)第二台
guang:
9/25 M4*1 OK(17米)
10/18 M4*1 ok(17米)
12/19 M4*2 ok(813)
12/27 M4*2 ok(813)
1/6 M4*1 OK(813)
1/19 M4*1 ok(17米)
2/9 M4*1 ok(17M)
3/23 M4*1 OK(523)
4/13 M4*1 OK(813)
6/11 M4*1 OK(523)
6/28 M4*1 OK(813)
6/29 M4*2 OK(813)
7/11 M4*1 OK(17M)
7/31 M4*2 OK(17M)
8/1 M4*2 OK(17M)
8/13 M4*1 OK(17M)
9/4 M4*1 OK(17M)
9/5 M4*1 OK(17M)
12/24 M4*1 OK(523)
6/18 M4*1 OK(523)
6/26 M4*1 OK(523)
7/19 M4*1 OK(813)
2/10 M4*1 OK(17M)
2/27 M4*1 OK(813)
8/5 M4*2 OK(523)
8/13 M4*1 OK(813)
9/15 M4*1 OK(813)
11/3 M4*1 OK(813)
11/16 M4*1 OK(17M)
11/17 M4*1 OK(17M)
21/1/7 M4*1 OK(17M)
2/1 M4*1 OK(813)
2/18 M4*1 OK(813)
3/5 M4*1 OK(813)
4/30 M4*1 OK(813)
5/27 M4*3 OK(813)
7/3 M4*1 OK(17M)
7/5 M4*1 OK(17M)
8/12 M4*1 OK(17M-1304)
8/12 M4*1 OK(17M-1082)
22/3/22 M4*1 OK(813-#2230)
3/22 M4*1 OK(813-#2371)
4/23 M4*1 OK(17M-#2371)
4/25 M4*1 OK(17M-#2474)
5/13 M4*1 OK(813-#2686)
6/16 M4*1 OK(813-#2539)
6/28 M4*1 OK(813-#1264)
001289:
23/2/1 M4*1 OK(17M-#3338)
5/15 M4*1 OK(813-#3519)
5/15 M4*1 OK(17M-#3539)
7/26 M4*1 OK(17M-#3714)
7/26 M4*1 OK(813-#3713)
24/3/1 M4*1 OK(17M-#4335)
4/18 M4*1 OK(17M-#4490)
8/29 M4*1 OK(17M-#4918)
8/30 M4*1 OK(17M-#4918)
10/8 M4*1 OK(813-#5049)
25/2/13 M4*1 OK(17M-#5407)
5/19 M4*1 OK(17M-#5700)
5/20 M4*1 OK(17M-#5529)
11/14 M4*1 OK(17M-#6024)</t>
      </text>
    </comment>
    <comment ref="E23" authorId="0" shapeId="0">
      <text>
        <t>guang:
4/20 M3*1 OK(813)
4/24 M3*1 OK(813)
4/28 M3*1 OK(523)
5/9 M3*1 OK(523)
5/18 M3*1 OK(523)
6/02 M3*1 OK(523)
6/09 M3*1 OK(523)
6/20 M3*1 OK(523)
6/29 M3*1 OK(523)
7/10 M3*1 OK(523)
7/31 M3*1 OK(813)
8/18 M3*1 OK(17m)
8/30 M3*1 OK(813)
9/1 M3*1 OK(523)
9/4 M3*1 OK(813)
10/12 M3*1 OK(17m)
10/24 M3*1 OK(17m)
12/27 M3*1 OK(17m)
12/28 M3*1 OK(813)
1/02 M3*1 OK(17m)
1/29 M3*1 OK(813)
2/1 M3*1 OK(813)
2/4 M3*1 OK(813)
2/22 M3*1 OK(523)
4/3 M3*1 OK(523)
4/24 M3*1 OK(17m)
6/15 M3*1 OK(523)
7/3 M3*1 OK(813)
7/9 M3*1 OK(813)
7/10 M3*1 OK(17m)
7/20 M3*1 OK(17m)
8/3 M3*1 OK(813)
8/6 M3*1 OK(17m)
8/8 M3*1 OK(17m)
8/11 M3*1 OK(17m)
8/28 M3*1 OK(17m)
9/11 M3*1 OK(523)
9/12 M3*1 OK(813)
1/4 M3*1 OK(523)
7/2 M3*1 OK(523)
7/8 M3*1 OK(523)
8/1 M3*1 OK(813)
3/7 M3*1 OK(813)
3/13 M3*1 OK(813)
8/13 M3*1 OK(523)
8/20 M3*1 OK(523)
8/28 M3*1 OK(523)
9/23 M3*1 OK(813)
11/12 M3*1 OK(17m)
11/30 M3*1 OK(17m)
12/28 M3*1 OK(17m)
21/1/28 M3*1 OK(17m)
2/22 M3*1 OK(17m)
2/26 M3*1 OK(17m)
3/18 M3*1 OK(17m)
5/11 M3*1 OK(813-000400000751)
6/1 M3*1 OK(813-000400000751)
6/3 M3*1 OK(17M-000400000751)
6/8 M3*1 OK(17M-000400000914)
7/9 M3*1 OK(17M-000400000961)
7/14 M3*1 OK(17M-000400001004)
8/19 M3*1 OK(17M-000400001082)
8/24 M3*1 OK(17M-000400001304)
22/3/30 M3*1 OK(17M-000400002230)
4/7 M3*1 OK(17M-000400002371)
4/29 M3*1 OK(17M-000400002371)
5/5 M3*1 OK(17M-000400002474)
5/17 M3*1 OK(813-000400002686)
9/6 M3*1 OK(813-000400002539)
9/29 M3*1 OK(813-000400001264)
23/2/14 M3*1 OK(17M-000400003338)
6/6 M3*1 OK(17M-000400003519)
7/18 M3*1 OK(17M-000400003539)
9/21 M3*1 OK(17M-000400003714)
12/6 M3*1 OK(17M-000400003713)
24/3/11 M3*1 OK(17M-000400004335)
4/25 M3*1 OK(17M-000400004490)
9/6 M3*1 OK(17M-000400004918)
9/20 M3*1 OK(813-000400004918)
10/17 M3*1 OK(17M-000400005049)
25/2/19 M3*1 OK(17M-000400005407)
6/18 M3*1 OK(17M-000400005700)
7/22 M3*1 OK(17M-000400005529)
12/4 M3*1 OK(813-000400006024)</t>
      </text>
    </comment>
    <comment ref="F23" authorId="0" shapeId="0">
      <text>
        <t>guang:
8/23 出2台(6路)
8/30 研磨OK*1
9/7 研磨OK*1
9/8 研磨OK*1
9/14 研磨OK*1
10/5 出1台
10/24 出1台
10/31 研磨OK*1
11/20 出1台
11/22 出1台
12/4 出1台(6路)
12/11 出1台
1/11 出1台
1/19 出1台
1/22 出1台
2/26 出1台
3/5 出1台
3/8 出1台(三廠)
3/23 出1台(三廠)
7/17 出1台(三廠)
7/24 出1台(三廠)
7/26 研磨OK*1
7/27 出1台(三廠)
7/30 研磨OK*1
8/3 出1台(三廠)
8/6 研磨OK*1
8/8 出1台(三廠)
8/27 研磨OK*1
8/31 出1台(三廠)
10/15 出1台(三廠)
10/17 出1台(三廠)
10/19 出1台(三廠)
10/24 研磨OK*1
2/14 出1台(三廠-HA18080601)
2/25 出1台(三廠-HA18072001)
3/26 研磨OK*1
3/27 出1台(三廠-HA19032601)
4/3 研磨OK*1
4/8 出1台(三廠-HA18091201)
5/27 研磨OK*1
5/31 研磨OK*1
7/12 研磨OK*1
7/19 出1台(三廠-HA19040101)
11/18 研磨OK*1
1/15 出1台(三廠-HA19111801)
1/30 出1台(三廠-HA18061501)
3/2 出1台(三廠-HA18091101)
3/20 研磨OK*1
3/31 出1台(三廠-HA20030701)
4/16 研磨OK*1
7/20 出1台(三廠-HA19070801-機號27842)
8/4 研磨OK*1
8/4 出1台(三廠-HA20031301-機號28228)
8/12 研磨OK*1
8/13 出1台(三廠-HA19070201-機號27906)
8/25 研磨OK*1
9/2 研磨OK*1
10/26 出1台(三廠-HA20082001-機號28321)
10/28 出1台(三廠-HA20081301-機號28325)
11/3 研磨OK*1
11/20 研磨OK*1
12/1 研磨OK*1
12/1 出1台(三廠-HA20082801-機號27811)
12/7 研磨OK*1
12/15 研磨OK*1
21/1/4 出1台(三廠-HA20113001-配28316)
1/6 出1台(三廠-HA20111201-配28317)
1/15 出1台(三廠-HA20092301-配100000205)
21/1/21 研磨OK*1
1/29 出1台(三廠-HA20122801-配100000296)
2/25 研磨OK*1
2/26出1台(三廠-HA21012801-配100000354)
3/8 研磨OK*1
3/9出1台(三廠-HA21022201-配100000249)
3/25 研磨OK*1
3/29出1台(三廠-HA21031801-配100000544)
4/6 研磨OK*1
5/12出1台(三廠-HA21022601-配100000629)
5/25 研磨OK*1
5/25出1台(三廠-HA21051101-100000630-000400000751)
6/10 研磨OK*1(000400000751)
6/23 研磨OK*1(000400000914)
6/30 研磨OK*1(000400000751)
8/11 研磨OK*1(000400001004)
8/13 研磨OK*1(000400000961)
8/26 研磨OK*1(000400001082)
10/12出1台(三廠-HA21081901-100000967-000400001082)
12/2出1台(三廠-HA21060301-100001332-000400000751)
12/7出1台(三廠-HA21060801-100001368-000400000914)
22/1/3出1台(三廠-HA21070901-100001364-000400000961)
1/6 出1台(三廠-HA21060101-100001369-000400000751)
3/31 出1台(三廠-HA21071401-100001159-000400001004)
4/22 研磨OK*1(000400002230)
4/26 出1台(三廠-HA22032901-100001741-000400002230)
5/5 研磨OK*1(000400002371)
1/21 研磨OK*1(000400001304)
6/13 出1台(三廠-HA21082401-100001760-000400001304)
6/10 研磨OK*1(000400002686)
6/22 研磨OK*1(000400002371)
7/13 出1台(三廠-HA22042901-100001902-000400002371)
7/7 研磨OK*1(000400002474)
7/21 出1台(三廠-HA22050401-100001820-000400002474)
10/3 研磨OK*1(000400002539)
001289:
12/6 研磨OK*1(000400001264)
guang:
23/1/5 出1台(三廠-HA22090601-100002195-000400002539)
2/14 出1台(三廠-HA22040701-100001952-000400002371)
2/15 出1台(三廠-HA22092901-100002156-000400001264)
3/27 出1台(三廠-HA22051701-100002319-000400002686)
5/9 研磨OK*1(000400003338)
5/10 出1台(三廠-HA23021401-100002373-000400003338)
6/21 研磨OK*1(000400003519)
6/21 出1台(三廠-HA23060601-100002408-000400003519)
7/26 研磨OK*1(000400003539)
8/24 出1台(三廠-HA23071801-100002544-000400003539)
10/11 研磨OK*1(000400003714)
10/11 出1台(三廠-HA23092101-100002565-000400003714)
12/20 研磨OK*1(000400003713)
12/20 出1台(三廠-HA23120601-100002632-000400003713)
24/3/26 研磨OK*1(000400004335)
5/20 研磨OK*1(000400004490)
8/1 出1台(三廠-HA24042501-100002747-000400004490)
8/15 出1台(三廠-HA24031101-100002919-000400004335)
9/23 研磨OK*1(000400004918)
10/9 出1台(三廠-HA24090601-100002954-000400004918)
10/29 研磨OK*1(000400004918)
12/4 研磨OK*1(000400005049)
10/9 出1台(三廠-HA24101701-100003125-000400005049)
25/3/4 研磨OK*1(000400005407)
3/10 出1台(三廠-HA25021901-100003168-000400005407)hsinwei:
7/16 研磨OK*1(000400005700)
8/7 研磨OK*1(000400005529)
8/14 出1台(三廠-HA24092001-100003378-000400004918)
9/19 出1台(三廠-HA25072201-100003401-000400005529)
10/22 出1台(三廠-HA25061801-100003418-000400005700)
12/18 研磨OK*1(000400006024)</t>
      </text>
    </comment>
    <comment ref="C24" authorId="0" shapeId="0">
      <text>
        <t>guang:
23/11/9 入1台(YJF-#4039)</t>
      </text>
    </comment>
    <comment ref="D24" authorId="0" shapeId="0">
      <text>
        <t xml:space="preserve">guang:
23/11/10 M4*1(17M-#4039)
</t>
      </text>
    </comment>
    <comment ref="E24" authorId="0" shapeId="0">
      <text>
        <t xml:space="preserve">guang:
23/11/20 M3*1 OK(813-#4039)
guang:
</t>
      </text>
    </comment>
    <comment ref="F24" authorId="0" shapeId="0">
      <text>
        <t xml:space="preserve">guang:
23/11/30 研磨OK(000400004039)
12/4 出1台(三廠-100002659-#4039)
</t>
      </text>
    </comment>
    <comment ref="C25" authorId="2" shapeId="0">
      <text>
        <t>ralf:
正峰 4/14 入1
4/19 入1(YJF)
8/21 入1台(YJF)
8/30 入1台(ZF)
9/11 入1台(ZF)
9/13 入1台(ZF)
9/22 入1台(YJF)
10/17 入1台(ZF)
11/21 入1台(YJF)
1/8 入1台(CFC)
1/11 入1台(CFC)
1/15 入1台(CFC)
2/2 入1台(CFC)
2/2 入1台(YJF)
2/7 入1台(CFC)
2/9 入1台(YJF)
2/26 入1台(YJF)
3/5 入1台(CFC)
3/31 入1台(CFC)
4/9 入1台(CFC)
4/12 入1台(CFC)
6/20入2台(CFC)
7/31 入1台(CFC)
8/30 入1台(CFC)
9/28 入1台(YJF)
1/4 入1台(CFC)
1/30 入1台(YJF)
2/18 入1台(CFC)
2/25 入1台(YJF)
2/26 入1台(YJF)
3/13 入1台(CFC)
3/15 入1台(YJF)
4/2 入1台(CFC)
5/2 入1台(YJF)
5/16 入1台(YJF)
1/6 入1台(YJF)
3/12 入1台(YJF)
3/12 入1台(CFC)
3/16 入1台(CFC)
3/26 入1台(CFC)
3/31 入1台(YJF)
4/16 入1台(YJF)
11/16 入1台(YJF)
2/1 入1台(YJF)
3/8 入1台(YJF)
guang:
24/6/11 入1台(YJF-#4668)
11/25 入1台(YJF-#5201)
25/3/28 入1台(YJF-#5594)
12/8 入1台(YJF-#6107)</t>
      </text>
    </comment>
    <comment ref="D25" authorId="0" shapeId="0">
      <text>
        <t>guang:
5/3 M4*1 OK(523)
5/16 M4*1 OK(523)
8/22 M4*1 OK(17m)
9/6 M4*1 OK(523)
9/14 M4*2 OK(17m)
9/30 M4*1 OK(17m)
10/20 M4*1 OK(523)
1/15 M4*1 OK(17m)
1/19 M4*1 OK(17m)
2/9 M4*1 ok(17M)
3/12 M4*1 OK(523)
4/12 M4*1 OK(813)
4/24 M4*1 OK(17m)
6/6 M4*2 OK(523)
6/11 M4*1 OK(523)
6/12 M4*1 OK(523)
6/20 M4*1 OK(813)
6/21 M4*1 OK(813)
7/17 M4*1 OK(17M)
7/26 M4*1 OK(813)
8/7 出1台(CFC-中凹過多)
8/11 M4*1 OK(17M)
8/30 入1台(CFC-中凹過多-回火送回加工)
9/10 M4*1 OK(17M)
10/4 M4*1 OK(17M)
10/25 M4*1 OK(523)
1/15 M4*1 OK(17M)
2/18 M4*2 OK(813)
3/5 M4*1 OK(17M)
3/20 M4*1 OK(523)
3/21 M4*1 OK(523)
4/17 M4*1 OK(17M)
5/6 M4*1 OK(523)
5/20 M4*1 OK(813)
2/4 M4*1 OK(523)
3/16 M4*1 OK(813)
3/17 M4*1 OK(813)
3/24 M4*1 OK(17M)
4/7 M4*1 OK(813)
4/23 M4*2 OK(813)
12/16 M4*2 OK(813)
2/18 M4*1 OK(813)
21/3/19 M4*1 OK(17M)
guang:
24/6/12 M4*1 OK(17M-#4668)
11/26 M4*1 OK(17M-#5201)
25/4/1 M4*1 OK(813-#5594)
12/19 M4*1 OK(813-#6107)</t>
      </text>
    </comment>
    <comment ref="E25" authorId="0" shapeId="0">
      <text>
        <t>guang:
5/15 M3*1 OK(523)
6/14 M3*1 OK(523)
8/28 M3*1 OK(523)
9/14 M3*1 OK(17m)
9/19 M3*1 OK(17m)
9/25 M3*1 OK(17m)
10/11 M3*1 OK(523)
10/26 M3*1 OK(523)
12/4 M3*1 OK(17m)
1/18 M3*1 OK(17m)
1/23 M3*1 OK(17m)
2/26 M3*1 OK(523)
3/31 M3*1 OK(523)
4/20 M3*1 OK(17m)
5/31 M3*1 OK(523)
6/9 M3*1 OK(523)
6/13 M3*1 OK(17m)
6/19 M3*1 OK(17m)
6/20 M3*1 OK(523)
6/28 M3*1 OK(813)
6/28 M3*1 OK(17m)
7/31 M3*1 OK(813)
8/23 M3*1 OK(17m)
9/8 M3*1 OK(17m)
9/18 M3*1 OK(17m)
10/9 M3*1 OK(17m)
11/6 M3*1 OK(523)(中凹1.4~1.7)
1/21 M3*1 OK(17m)
2/22 M3*1 OK(813)
2/25 M3*1 OK(523)
3/15 M3*1 OK(523)
3/19 M3*1 OK(523)
3/27 M3*1 OK(523)
4/2 M3*1 OK(523)
4/24 M3*1 OK(17M)
5/09 M3*1 OK(523)
6/03 M3*1 OK(813)
2/11 M3*1 OK(523)
3/25 M3*1 OK(813)
3/30 M3*1 OK(523-H08000391)
4/8 M3*1 OK(523)
6/23 M3*1 OK(523)
7/6 M3*1 OK(813-H08000391)
7/28 M3*1 OK(813)
21/1/14 M3*1 OK(17M-H08000390)
3/12 M3*1 OK(17M-H08000392)
3/25 M3*1 OK(17M-000400000171)
guang:
24/6/27 M3*1 OK(17M-#4668)
12/4 M3*1 OK(17M-#5201)
25/4/10 M3*1 OK(17M-#5594)
12/30 M3*1 OK(813-#6107)</t>
      </text>
    </comment>
    <comment ref="F25" authorId="0" shapeId="0">
      <text>
        <t>guang:
5/25 出1台
6/13 研磨OK*1(13018)
7/11 出1台
7/17 出1台
8/22 出1台
ralf:
9/1 研磨OK*1
9/8 出1台
9/20 研磨OK*1
9/22 出1台
9/26 研磨OK*1 (13018)
guang:
9/30 出1台
12/15 出1台
12/18 出1台
ralf:
12/27 研磨OK*1
guang:
12/29 出1台
1/4 出1台
1/24 出1台
2/22 出1台
6/6 出1台(三廠)
6/19 出1台(三廠)
6/29 出1台(三廠)
7/11 研磨OK*1
7/11 出1台(三廠)
7/13 出1台(三廠)
7/16 研磨OK*1
8/16 出1台(三廠)
8/21 出1台(三廠)
8/29 研磨OK*1
8/29 出1台(三廠)
9/3 研磨OK*1
9/4 出1台(三廠)
11/20 出1台(三廠)
11/21 出1台(三廠)
11/30 出1台(三廠)
12/13 研磨OK*1
1/8 出1台(三廠-HA18110601)
1/10 研磨OK*1
1/10 出1台(三廠-HA18090801)
1/15 研磨OK*1
2/13 出1台(三廠-HA18091801)
2/20 研磨OK*1
2/20 出1台(三廠-HA19012101)
2/23 研磨OK*1
3/5 研磨OK*1
3/15 出1台(三廠-HA19022201)
3/15 出1台(本廠-HA18100901)
3/20 研磨OK*1
3/20 出1台(三廠-HA19022502)
5/2 研磨OK*1
5/3 出1台(三廠-HA19040201)
5/9 研磨OK*1
7/5 研磨OK*1
7/31 研磨OK*1
8/13 出1台(三廠-HA19050901)
9/30 出1台(三廠-HA19042201)
10/23 出1台(三廠-HA19031501)
10/24 研磨OK*1
11/1 研磨OK*1
11/7 研磨OK*1
11/11 出1台(三廠-HA19052401)
1/20 出1台(三廠-HA19032701)
1/30 出1台(三廠-HA19031902)
2/18 研磨OK*1
2/19 出1台(三廠-HA20021101)
3/30 研磨OK*1
3/30 出1台(三廠-HA20032501)
4/13 研磨OK*1-H08000391
8/11 出1台(三廠-HA20040801-配27770)
9/10 研磨OK*1
9/10 出1台(三廠-HA20072801配27835)
9/24 研磨OK*1-H08000391
10/5 研磨OK*1(0004000000388)
21/10/6 出1台(三廠-HA20062301-100000892-000400000388)
10/15 研磨OK*1(00040000171)
10/21 研磨OK*1(H08000392)
21/7/4 出1台(三廠-HA20070601-100001891-H08000391)
22/7/15 研磨OK*1(H08000390)
8/10 出1台(三廠-HA21032401-100001968-000400000171)
23/3/13 出1台(三廠-HA20033001-100002220-H08000391)
3/24 出1台(三廠-HA21031201-100002302-H08000392)
6/28 出1台(三廠-HA21011401-100002458-H08000390)
guang:
24/7/10 研磨OK*1(000400004668)
7/10 出1台(三廠-HA24062701-100002825-000400004668)
12/12 研磨OK*1(000400005201)
12/16 出1台(三廠-HA24120401-100003035-000400005201)
25/4/16 研磨OK*1(000400005594)
4/16 出1台(三廠-HA25041001-100003185-000400005594)
26/1/8 研磨OK*1(000400006107)
1/9 出1台(三廠-HA26010801-100003446-000400006107)</t>
      </text>
    </comment>
    <comment ref="C26" authorId="2" shapeId="0">
      <text>
        <t xml:space="preserve">ralf:
411旁
3/27 入1台(YZ)
9/8 入1台(YZ)
1/23 入1台(YJF)
1/31 入1台(YJF)
3/20 入1台(YZ)
3/28 入1台(YJF)
5/3 入1台(YZ)
4/17 入1台(YJF)
7/17 入1台(YZ)
8/7 入1台(YZ)
11/16 入1台(YJF)
21/3/19 入1台(YJF)
5/7 入1台(YJF)
22/3/15 入1台(YZ-#2456)
24/4/15 入1台(YJF-#4511)
6/3 入1台(YJF-#4669)
6/26 入1台(YJF-#4761)
25/3/15 入1台(LD-#5400)
11/20 入1台(LD-#6030)
</t>
      </text>
    </comment>
    <comment ref="D26" authorId="0" shapeId="0">
      <text>
        <t>guang:
6/3 M4*1 OK(17M)
6/5 M4*1 OK(17M)
9/30 M4*1 OK(17M)
2/9 M4*1 OK(17M)
2/28 M4*1 OK(17M)
3/23 M4*1 OK(17M)
3/30 M4*1 OK(17M)
5/17 M4*1 OK(813)
long:
6/20 M4*1 OK(813)
7/22 M4*1 OK(813)
8/13 M4*1 OK(523)
11/23 M4*1 OK(813)
21/3/25 M4*1 OK(17M)
9/9 M4*1 OK(17M)
22/8/2 M4*1 OK(813-#2456)
guang:
24/4/16 M3*1 OK(17M-00040004511)
6/14 M4*1 OK(813-00040004669)
7/4 M4*1 OK(813-00040004761)
25/5/28 M4*1 OK(17M-00040005400)
11/27 M4*1 OK(17M-00040006030)</t>
      </text>
    </comment>
    <comment ref="E26" authorId="0" shapeId="0">
      <text>
        <t>guang:
6/13 M3*1 OK(17M)
6/14 M3*1 OK(813)
10/17 M3*1 OK(17M)
2/28 M3*1 OK(17M)
3/23 M3*1 OK(17M)
4/4 M3*1 OK(17M)
4/17 M3*1 OK(17M)
5/31 M3*1 OK(17M)
6/25 M3*1 OK(813)
long:
7/26 M3*1 OK(813)
8/27 M3*1 OK(523)
12/25 M3*1 OK(813)
21/4/1 M3*1 OK(17M-00040000376)
9/15 M3*1 OK(17M-00040001436)
001289:
11/2 M3*1 OK(813-00040002456)
24/4/24 M3*1 OK(813-00040004511)
6/20 M3*1 OK(813-00040004669)
7/11 M3*1 OK(813-00040004761)
25/6/11 M3*1 OK(17M-00040005400)
12/9 M3*1 OK(17M-00040006030)</t>
      </text>
    </comment>
    <comment ref="F26" authorId="2" shapeId="0">
      <text>
        <t>ralf:
T7030旁guang:
7/21 出1台
ralf:
7/28 研磨OK*1
guang:
8/11 出1台
ralf:
8/24 研磨OK*1
guang:
8/25 出1台ralf:
10/23研磨OK*1  
1/26出1台
2/27出1台
3/9研磨OK*1  
5/10 出1台(三廠)
5/28 出1台(三廠)
6/4 出1台(三廠)
6/21 出1台(三廠)
6/25 出1台(三廠)
8/13 出1台(三廠)
8/8研磨OK*1  
8/8 出1台(三廠-HA19072602)
9/9研磨OK*1  
4/9 出1台(三廠-HA19082701-28059)
21/1/5 研磨OK*1  
1/5 出1台(三廠-HA20122501-27954)
7/27 研磨OK*1(000400000376)
22/1/24 出1台(三廠-HA21040101-100000955-000400000376)
6/28 研磨OK*1(000400001436)
12/19 研磨OK*1(000400002456)
23/6/8 出1台(三廠-HA21091501-100002254-000400001436)
7/31 出1台(三廠-HA22110201-100002490-000400002456)
24/5/7 研磨OK*1(000400004511)
5/8 出1台(三廠-HA24042401-100002761-000400004511)
7/9 研磨OK*1(000400004669)
7/10 出1台(三廠-HA24062001-100002834-000400004669)
7/23 研磨OK*1(000400004761)
7/23 出1台(三廠-HA24071101-100002841-000400004761)hsinwei:
25/7/3 研磨OK*1(000400005400)
7/3 出1台(三廠-HA25061101-100003310-000400005400)
12/29 研磨OK*1(000400006030)
26/1/5 出1台(三廠-HA25120901-100003410-000400006030)</t>
      </text>
    </comment>
    <comment ref="C27" authorId="0" shapeId="0">
      <text>
        <t xml:space="preserve">guang:
3/28 入1台(YJF)
ralf:
4/19 入1(YJF)
3/23 入1(YJF)
4/30 入1台(YJF)
7/18 入1台(YJF)
8/1 入1台(YJF)
10/15 入1台(YJF)
10/30 入1台(YJF)
21/8/27 入1台(YJF)
10/14 入1台(YJF-#3165)
23/10/24 入1台(YJF-#3956)
24/5/15 入1台(YJF-#4605)
</t>
      </text>
    </comment>
    <comment ref="D27" authorId="2" shapeId="0">
      <text>
        <t>ralf:
4/15 M4*1OK(17米)
4/12 M4*1OK(813)
5/17 M4*1OK(813)
7/20 M4*1OK(17M)
8/2 M4*1OK(17M)
11/6 M4*1OK(17M)
11/7 M4*1OK(17M)
9/7 M4*1OK(813-1497)
22/10/17 M4*1OK(813-#3165)
23/10/23 M4*1 OK(813-#3956)
guang:
24/5/18 M4*1 OK(813-#4605)</t>
      </text>
    </comment>
    <comment ref="E27" authorId="0" shapeId="0">
      <text>
        <t xml:space="preserve">guang:
4/20 M3*1 OK(17M)
5/11 M3*1 OK(813)
6/27 出1台(轉台典研)
ralf:
6/27 未出給台典研磨
5/17 M3*1 OK(813)
5/31 M3*1 OK(813)
7/27 M3*1 OK(17M)
7/30 出1台(轉台典研-HA18072701)
8/7 M3*1 OK(813)
8/9 出1台(轉台典研-HA18080702)
11/17 M3*1 OK(17M)
11/29 M3*1 OK(813)
21/9/23 M3*1 OK(17M-000400001497)
10/28 出1台(轉台典研-HA21092301-100001062-000400001497)
001289:
10/24 M3*1 OK(813-#3165)
23/11/7 M3*1 OK(813-#3956)
24/5/28 M3*1 OK(813-#4605)
</t>
      </text>
    </comment>
    <comment ref="F27" authorId="0" shapeId="0">
      <text>
        <t xml:space="preserve">guang:
2/20 出1台
4/27 研磨OK*1 (13米)
4/28 出1台
9/5 研磨OK*1
6/14 出1台(三廠)
6/15 出1台(三廠)
6/24 研磨OK*1 (13米)
7/5 出1台(三廠)
11/26 研磨OK*1 (13米)
12/3 出1台(三廠)
8/28 研磨OK*1 (13米)
21/8/27 出1台(三廠-HA18112901-100000743)
001289:
22/11/8 研磨OK*1 (13米)
11/8 出1台(三廠-HA22102401-100001958)
23/11/21 研磨OK*1 (13米)
11/22 出1台(三廠-HA23110701-100002577-000400003956)
24/6/5 研磨OK*1 (13米)
6/6 出1台(三廠-HA24052701-100002779-000400004605)
</t>
      </text>
    </comment>
    <comment ref="C28" authorId="0" shapeId="0">
      <text>
        <t>guang:
1/13 入1台
5/10 入1台( YJF)
8/17 入1台( YJF)
10/30 入1台(YJF)
2/21 入1台(YJF)
109/2/7 入1台(YJF)
109/10/27 入1台(YJF)
21/3/29 入1台(YJF)
7/7 入1台(YJF)
24/12/6 入1台(YJF-#5203)
25/1/10 入1台(YJF-#5381)
4/1 入1台(YJF-#5596)
12/18 入1台(YJF-#6072)</t>
      </text>
    </comment>
    <comment ref="D28" authorId="2" shapeId="0">
      <text>
        <t xml:space="preserve">ralf:
5/12 M4*1OK(813)
8/25 M4*1 OK(17M)
11/5 M4*1 OK(17M)
2/23 M4*1OK(813)
2/11 M4*1 OK(17M)
11/4 M4*1OK(813)
21/4/6 M4*1OK(813)
7/10 M4*1OK(813)
guang:
24/12/7 M4*1 OK(813-000400005203)
1/14 M4*1 OK(17M-000400005381)
4/7 M4*1 OK(813-000400005596)
</t>
      </text>
    </comment>
    <comment ref="E28" authorId="0" shapeId="0">
      <text>
        <t>guang:
1/20 出1台，轉隆升研磨(光)
5/17 M3*1 OK(813)
9/29 M3*1 OK(813)
11/14 M3*1 OK(813)
3/4 M3*1 OK(17M)
2/24 M3*1 OK(17M)
11/19 M3*1 OK(813)
5/26 M3*1 OK(813-000400000384)
8/23 M3*1 OK(813-000400000384)
24/12/19 M3*1 OK(17M-000400005203)
25/1/21 M3*1 OK(17M-000400005381)
4/17 M3*1 OK(17M-000400005596)
26/1/6 M3*1 OK(17M-000400006072)</t>
      </text>
    </comment>
    <comment ref="F28" authorId="0" shapeId="0">
      <text>
        <t xml:space="preserve">guang:
7/4 研 OK
7/4 出1台
ralf:
10/6 研磨OK*1
5/3 出1台(三廠)
11/21 研磨OK*1
11/27 出1台(三廠)
3/11 研磨OK*1
3/13 出1台(三廠-HA19030401)
3/4 研磨OK*1
3/6 出1台(三廠-HA20022401)
11/27 研磨OK*1
11/27 出1台(三廠-HA20111901-28291)
21/6/11 研磨OK*1
6/11 出1台(三廠-HA21052601-100000712-000400000384)
11/26 研磨OK*1(000400000384)
001289:
12/6 出1台(三廠-HA21082101-100002145-000400000384)
25/1/15 研磨OK*1(000400005203)
1/15 出1台(三廠-HA24121901-100003051-000400005203)
2/11 研磨OK*1(000400005381)
2/12 出1台(三廠-HA25012101-100003089-000400005381)
4/29 研磨OK*1(000400005596)
4/29 出1台(三廠-HA25041701-100003186-000400005596)
</t>
      </text>
    </comment>
    <comment ref="C29" authorId="0" shapeId="0">
      <text>
        <t>guang:
3/14 入1台(YJF)(光)
3/21 入1台(YZ)
3/30 入1台(YZ)
4/14 入1台(YZ)
5/2 入1台(YZ)
6/6 入1台(YJF)
6/22 入1台(YZ)
12/22 入1台(YJF)
01/02 入1台(YZ)
2/9 入1台(YZ)
3/23 入1台(YZ)
5/4 入1台(YZ)
5/23 入1台(YZ)
11/12 入1台(YZ)(特殊)
11/22 入1台(YZ)(特殊)
1/3 入1台(YZ)
3/26 入1台(YZ)
8/27 入1台(YZ)
11/27 入1台(YZ)
12/31 入1台(YZ)
21/3/18 入1台(YZ)
4/29 入1台(YZ)
6/2 入1台(YZ)
6/2 入1台(YJF)
6/24 入1台(YJF)
6/29 入1台(YZ)
7/21 入1台(YZ)
22/7/12 入1台(YJF-#2921)
7/13 退1台(YJF-#2921-中凸15mm扭曲10mm)
7/22 壓後送回-#2921
8/18 入1台(LD-#3054)
guang:
24/10/24 入1台(YJF-#5091)
25/3/18 入1台(LD-#5544)
26/1/2 入1台(LD-#6091)</t>
      </text>
    </comment>
    <comment ref="D29" authorId="0" shapeId="0">
      <text>
        <t>guang:
3/23 M4*1 OK(17M)
3/31 M4*1 OK(813)
ralf:
4/25 M4*1OK(17米)
5/10 M4*1 OK(17米)
guang:
6/22 M4*1 OK(813)  8/1 M4*1 OK(813)
1/3 M4*1 OK(17米)
1/8 M4*1 OK(813)
3/1 M4*1 OK(17米)
3/31 M4*1 OK(17M)
5/9 M4*1 OK(17M)
5/29 M4*1 OK(813)
11/19 M4*1 OK(17M-HAS-532)
11/29 M4*1 OK(17M-HAS-532)
1/5 M4*1 OK(813)
4/2 M4*1 OK(17M)
8/28 M4*1 OK(17M)
12/1 M4*1 OK(17M)
21/1/5 M4*1 OK(813)
3/19 M4*1 OK(813)
4/30 M4*1 OK(813)
6/2 M4*1 OK(813)
6/8 M4*1 OK(17M)
6/25 M4*1 OK(813)
7/24 M4*1 OK(813)
7/26 M4*1 OK(813)
22/7/23 M4*1 OK(813-#2921)
8/19 M4*1 OK(17M-#3054)
guang:
24/10/25 M4*1 OK(17M-000400005091)
25/3/20 M4*1 OK(813-#5544)
26/1/7 M4*1 OK(17M-#6091)</t>
      </text>
    </comment>
    <comment ref="E29" authorId="0" shapeId="0">
      <text>
        <t xml:space="preserve">guang:
3/21 M3*1 OK(17M)
3/29 M3*1 OK(17M)
4/11 M3*1 OK(17M)
4/11 入1台(傑浩)
5/16 M3*1 OK(17M)
5/26 M3*1 OK(17M)
7/19 M3*1 OK(813)
8/8 M3*1 OK(17M)
1/12 M3*1 OK(813)
2/8 M3*1 OK(17M)
5/16 M3*1 OK(17M)
5/23 M3*1 OK(813)
5/28 M3*1 OK(813)
6/6 M3*1 OK(813)
11/28 M3*1 OK(17M-HAS-532)
12/10 M3*1 OK(17M-HAS-532)
1/11 M3*1 OK(813)
4/10 M3*1 OK(17M)
9/10 M3*1 OK(17M)
12/15 M3*1 OK(813)
21/1/15 M3*1 OK(813)
3/26 M3*1 OK(813)
5/10 M3*1 OK(17M)
6/10 M3*1 OK(813)
6/17 M3*1 OK(813)
7/9 M3*1 OK(813-000400001078)
8/9 M3*1 OK(813-000400001300)
8/16 M3*1 OK(813-000400001183)
9/7 出1台(送台典研-1000001130-000400001183)
22/8/2 M3*1 OK(17M-000400002921)
10/14 M3*1 OK(813-000400003054)
24/11/4 M3*1 OK(17M-000400005091)
guang:
11/5 出1台(送台典研-1000002948-000400005091)
25/4/7 M3*1 OK(17M-000400005544)
</t>
      </text>
    </comment>
    <comment ref="F29" authorId="0" shapeId="0">
      <text>
        <t xml:space="preserve">guang:
2/23 出1台
3/29 出1台(三廠)
4/7 出1台(三廠)
ralf:
4/18 出一台(三廠)
4/21 出1台(三廠)
5/25 研磨OK*1(13018)
6/6 顏磨OK*1(13018)
6/19 出一台(三廠)
8/18 研磨OK*1
9/18 出一台(三廠)
1/9 出一台(三廠)
2/14 出一台(三廠)
3/2 研磨OK*1
3/28 出一台(三廠)
6/26 出一台(三廠)
8/17 出一台(三廠)
11/7 出一台(三廠)(HA18052802)
12/6 研磨OK*1-HSA-532
12/20 研磨OK*1-HSA-532
12/22 出一台(三廠)(HA18121001)
12/24 出一台(三廠)(HA18112801)
1/3 出一台(三廠)(HA18051601)
1/21 研磨OK*1
3/11 出一台(三廠)(HA19011002)
6/17 研磨OK*1
7/8 出一台(三廠)(HA19041002)
7/23 研磨OK*1(退磨-已開單)
3/24 出一台(三廠)(HA15032601-退磨-已開單)
9/21 研磨OK*1
9/21 出一台(三廠-HA20091001配28232)
12/22 研磨OK*1
12/23 出1台(三廠-HA20121401-配機號:28328)
12/29 研磨OK*1
12/29 出1台(三廠-HA21011501-配機號:100000096)
21/4/1 研磨OK*1
4/1 出1台(三廠-HA21032601-配:100000182-000400000282)
5/19 研磨OK*1-000400000282
5/19 出1台(三廠-HA21051001-100000424-000400000282)
6/18 研磨OK*1-000400000499
6/18 出1台(三廠-HA21060901-100000576-000400000499)
6/24 研磨OK*1-000400000499
6/24 出1台(三廠-HA21061701-100000590-000400000499)
7/21 研磨OK*1-000400001078
7/21 出1台(三廠-HA21070901-100000468-000400001078)
11/19 研磨OK*1-000400001300
22/6/7 出1台(三廠-HA21080901-100001744-000400001360)
8/17 研磨OK*1-000400002921
8/18 出1台(三廠-HA22080201-100001931-000400002921)
23/6/5 研磨OK*1-000400003054
7/24 出1台(三廠-HA22101401-100002411-000400003054)
25/4/18 研磨OK*1-000400005544
4/21 出1台(三廠-HA25040701-100003172-000400005544)
</t>
      </text>
    </comment>
    <comment ref="C30" authorId="0" shapeId="0">
      <text>
        <t xml:space="preserve">guang:
3/13 入1台(YZ)
4/11 入1台(YZ)
5/26 入1台(YZ)
7/21入1台(YZ)
9/18入1台(YZ)
12/21入1台(YZ)
01/02 入1台(YZ)
01/15 入1台(YZ)
03/13 入1台(YZ)
8/14 入1台(YZ)
11/17 入1台(YZ)
21/1/26 入1台(YZ)
22/5/16 入1台(LD-#2564)
5/19 入1台(LD-#2765)
5/26 出1台(LD-#2765-無軸承座)
guang:
6/17 入1台(LD-#2564)-換
6/29 入1台(LD-#2765)-換
8/15 入1台(LD-#3039)
25/6/20 入1台(LD-#5818)
</t>
      </text>
    </comment>
    <comment ref="D30" authorId="2" shapeId="0">
      <text>
        <t xml:space="preserve">ralf:
4/15 M4*1OK(17米)
guang:
6/23 M4*1OK(17米)
7/31 M4*1OK(813)
10/24 M4*1OK(17米)
12/28 M4*1OK(17米)
6/6 M4*1 OK(813)
6/7 M4*1 OK(813)
3/13 M4*1 OK(813)
8/18 M4*1 OK(813)
11/20 M4*1 OK(813)
21/1/29 M4*1OK(17米)
4/26 出1台(中凹22mm-退回處理)
5/19 入1台(回火完成!送回)
5/17 M4*1OK(17米-#2564)
5/26 出1台(LD-#2564-無軸承座)
6/18 M4*1OK(813-#2564)-換
6/29 M4*1OK(813-#2765)-換
8/17 M4*1OK(17M-#3039)
25/6/21 M4*1OK(17M-#5818)
</t>
      </text>
    </comment>
    <comment ref="E30" authorId="2" shapeId="0">
      <text>
        <t xml:space="preserve">guang:
3/31 M3*1 OK(813)
4/6 出1台(台典研磨)
5/4 M3*1 OK(17M)
5/8 出1台(台典研磨)
7/3 M3*1 OK(17M)
7/5 出1台(台典研磨)(HA17070301)(已開單)
8/8 M3*1 OK(813)
guang:
8/10 出1台(台典研磨)(HA17080801)
guang:
11/2 M3*1 OK(813)
11/3 出1台(台典研磨)(HA17110201)
1/9 M3*1 OK(17M)
1/12 出1台(台典研磨)(HA17120501)
6/12 M3*1 OK(813)
6/15 出1台(隆升研磨)(HA18061202)
long:
6/20 M3*1 OK(813)
6/22 出1台(隆昇研磨HA18062001)
3/23 M3*1 OK(17M)
3/26 出1台(隆昇研磨HA19032301)
8/27 M3*1 OK(813)
8/28 出1台(台典研磨)(HA20082701-配28190)
12/3 M3*1 OK(813)(中凹1.8)
12/7 出1台(台典研磨)(HA20120301-配28309)
21/10/1 M3*1 OK(17M-000400000190)(中凹1.4)
22/1/7 出1台(台典研磨)(HA21100101-100001255-000400000190)
6/27 M3*1 OK(813-000400002564)(中凹1.32)
6/28 出1台(台典研磨)(HA22062701-100001545-000400002564)
7/7 M3*1 OK(813-000400002765)(中凹1.5)
7/8 出1台(台典研磨)(HA22070701-100001735-000400002765)
8/30 M3*1 OK(813-000400003039)(中凹1.25)
9/2 出1台(台典研磨)(HA22083001-100001903-000400003039)
25/7/1 M3*1 OK(17M-000400005818)(中凹1.53)
7/2 出1台(台典研磨)(HA25070101-100003301-000400005818)
</t>
      </text>
    </comment>
    <comment ref="F30" authorId="0" shapeId="0">
      <text>
        <t xml:space="preserve">guang:
2/1入1台(隆升研-HA18062001)
2/13入1台(隆升研-HA18061202)
2/-- 出1台(三廠)
3/-- 出1台(三廠)
</t>
      </text>
    </comment>
    <comment ref="M30" authorId="0" shapeId="0">
      <text>
        <t>guang:
HA19032301</t>
      </text>
    </comment>
    <comment ref="C31" authorId="2" shapeId="0">
      <text>
        <t xml:space="preserve">ralf:
YJF 11/30 入
11/29 入1台(YJF)
5/13 入1台(YJF)
21/5/24 入1台(YJF)
22/9/1 入1台(YJF-#3050)
25/3/24 入1台(YJF-#5531)
</t>
      </text>
    </comment>
    <comment ref="D31" authorId="0" shapeId="0">
      <text>
        <t xml:space="preserve">guang:
11/30 M4*1 OK(813)
5/14 M4*1 OK(17M)
21/6/10 M4*1 OK(813)
22/9/7 M4*1 OK(813-#3050)
25/4/8 M4*1 OK(813-#5531)
</t>
      </text>
    </comment>
    <comment ref="E31" authorId="0" shapeId="0">
      <text>
        <t xml:space="preserve">guang:
12/6 M3*1 OK(813)(半)
12/18 M3*1 OK(813)(成品)
5/20 M3*1 OK(17M)(半)
6/4 M3*1 OK(813)(成品)
21/6/15 M3*1 OK(813)(半)
6/30 M3*1 OK(813)(成品-中凹5.45)
22/9/15 M3*1 OK(813-#3050)(半)
10/4 M3*1 OK(813-#3050)(成品-中凹2.3)
25/4/15 M3*1 OK(813-#5531)(半)
5/7 M3*1 OK(17M-#5531)(成品-中凹2.47)
</t>
      </text>
    </comment>
    <comment ref="F31" authorId="0" shapeId="0">
      <text>
        <t xml:space="preserve">guang:
1/14 研磨OK
4/29 出1台(3廠-HA18121801)
6/12研磨OK
6/12 出1台(3廠-HA20060401-28053)
21/7/9 研磨OK(000400000448)
7/12 出1台(3廠-HA21063001-100000721-000400000448)
001289:
10/24 出1台(3廠-HA22100401-100002000-000400003050)
25/5/21 研磨OK(000400005531)
10/24 出1台(3廠-HA25050701-100003170-000400005531)
</t>
      </text>
    </comment>
    <comment ref="C32" authorId="0" shapeId="0">
      <text>
        <t xml:space="preserve">guang:
11/29 入1台(YJF)
5/13 入1台(YJF)
21/5/24 入1台(YJF)
22/9/1 入1台(YJF-#3051)
25/3/24 入1台(YJF-#5532)
</t>
      </text>
    </comment>
    <comment ref="D32" authorId="0" shapeId="0">
      <text>
        <t xml:space="preserve">guang:
11/3 M4*1 OK(813)
5/15 M4*1 OK(17M)
21/6/10 M4*1 OK(813)
22/9/7 M4*1 OK(813-#3051)
25/4/8 M4*1 OK(813-#5532)
</t>
      </text>
    </comment>
    <comment ref="E32" authorId="0" shapeId="0">
      <text>
        <t xml:space="preserve">guang:
12/10 M3*1 OK(813)(半)
12/18 M3*1 OK(813)(成品)
5/25 M3*1 OK(17M)(半)
6/4 M3*1 OK(813)(成品)
21/6/18 M3*1 OK(813)(半)
6/30 M3*1 OK(813)(成品-中凹5.45)
22/9/15 M3*1 OK(813-#3051)(半)
10/4 M3*1 OK(813-#3051)(成品-中凹2.3)
25/4/17 M3*1 OK(813-#5532)(半)
5/7 M3*1 OK(17M-#5532)(成品-中凹2.47)
</t>
      </text>
    </comment>
    <comment ref="F32" authorId="0" shapeId="0">
      <text>
        <t xml:space="preserve">guang:
1/14 研磨OK
4/29 出1台(3廠-HA18121801)
6/12研磨OK
6/12 出1台(3廠-HA20060401-28053)
21/7/9 研磨OK(000400000450)
7/12 出1台(3廠-HA21063001-100000721-000400000450)
001289:
10/24 出1台(3廠-HA22100401-100002000-000400003051)
guang:
25/5/21 研磨OK(000400005532)
10/24 出1台(3廠-HA25050701-100003170-000400005532)
</t>
      </text>
    </comment>
    <comment ref="C33" authorId="0" shapeId="0">
      <text>
        <t xml:space="preserve">guang:
10/30入1台(YJF)
6/8 入1台(YJF)
1/4 入1台(YJF)
21/9/9 入1台(YJF)
11/12 入1台(YJF)
23/3/20 入1台(YJF-#3426)
5/23 入1台(YJF-#3572)
24/5/27 入1台(YJF-#4666)
hsinwei:
25/7/25 入1台(YJF-#5888)
</t>
      </text>
    </comment>
    <comment ref="D33" authorId="0" shapeId="0">
      <text>
        <t xml:space="preserve">guang:
10/31 M4*1 OK(17M)
9/19 M4*1 OK(813)
1/15 M4*1 OK(17M)
21/9/18 M4*1 OK(813-1617)
11/25 M4*1 OK(17M-1677)
guang:
23/3/22 M4*1 OK(17M-3426)
5/27 M4*1 OK(813-3572)
5/27 M4*1 OK(813-3573)
24/5/29 M4*1 OK(813-#4666)
25/7/29 M4*1 OK(17M-#5888)
</t>
      </text>
    </comment>
    <comment ref="E33" authorId="0" shapeId="0">
      <text>
        <t xml:space="preserve">guang:
11/09 M3*1(半)(813)OK
11/17 M3*1(成)(813)OK
9/25 M3*1(半)(813)OK
10/04 M3*1(成品)(813)OK
2/15 M3*1(成品)(813)OK
21/10/4 M3*1(成品)(813-1617)OK
10/6 出1台(轉台典研-HA21100401-100000816-000400001617)
12/21 M3*1(成品)(813-1677)OK
guang:
23/4/17 M3*1(成品)(813-#3426)OK
6/15 M3*1(半成品)(813-#3572)OK
6/26 M3*1(成品)(813-#3572)OK
6/28 出1台(轉台典研-HA23062601-100002297-000400003572)
24/6/25 M3*1 OK(813-#4667)(成品)
6/27 出1台(轉台典研-HA24062501-100002748-000400004666)
hsinwei:
25/8/6 M3*1(半成品)(17M-#5888)OK
8/15 M3*1 OK(17M-#5888)(成品)
</t>
      </text>
    </comment>
    <comment ref="F33" authorId="0" shapeId="0">
      <text>
        <t xml:space="preserve">guang:
11/24 出1台(3廠)
1/2 研磨 OK
1/2 出1台(3廠-HA18100401)
8/19 研磨 OK
4/29 出1台(3廠-HA19021501)(28062)
22/1/12 研磨 OK(000400001677)
1/13 出1台(3廠-HA21122101-100001093-000400001677)
23/4/25 研磨 OK(000400003426)
4/26 出1台(3廠-HA23041701-100002221-000400003426)
25/8/26 研磨 OK(000400005888)
8/26 出1台(3廠-HA25081501-100003320-000400005888)
</t>
      </text>
    </comment>
    <comment ref="C34" authorId="0" shapeId="0">
      <text>
        <t xml:space="preserve">guang:
10/30入1台(YJF)
6/8 入1台(YJF)
1/4 入1台(YJF)
21/9/13 入1台(YJF)
11/12 入1台(YJF)
23/3/20 入1台(YJF-#3427)
5/23 入1台(YJF-#3573)
24/6/3 入1台(YJF-#4667)
hsinwei:
25/7/25 入1台(YJF-#5889)
</t>
      </text>
    </comment>
    <comment ref="D34" authorId="0" shapeId="0">
      <text>
        <t xml:space="preserve">guang:
10/31 M4*1 OK(17M)
9/19 M4*1 OK(813)
1/16 M4*1 OK(17M)
21/9/20 M4*1 OK(813-1618)
11/25 M4*1 OK(17M-1678)
guang:
23/3/22 M4*1 OK(17M-3427)
24/6/8 M4*1 OK(813-#4667)
25/7/30 M4*1 OK(17M-#5889)
</t>
      </text>
    </comment>
    <comment ref="E34" authorId="0" shapeId="0">
      <text>
        <t xml:space="preserve">guang:
11/09 M3*1(半)(813)OK
11/17 M3*1(成)(813)OK
9/26 M3*1(半)(813)OK
10/04 M3*1(成品)(813)OK
2/15 M3*1(成品)(813)OK
21/10/4 M3*1(成品)(813-1618)OK
10/6 出1台(轉台典研-HA21100401-100000816-000400001618)
12/21 M3*1(成品)(813-1678)OK
guang:
23/4/17 M3*1(成品)(813-#3427)OK
6/20 M3*1(半成品)(813-#3573)OK
6/26 M3*1(成品)(813-#3573)OK
6/28 出1台(轉台典研-HA23062601-100002297-000400003573)
24/6/25 M3*1 OK(813-#4667)(成品)
6/27 出1台(轉台典研-HA24062501-100002748-000400004667)
guang:
hsinwei:
25/8/8 M3*1(半成品)(17M-#5889)OK
8/15 M3*1 OK(17M-#5889)(成品)
</t>
      </text>
    </comment>
    <comment ref="F34" authorId="0" shapeId="0">
      <text>
        <t xml:space="preserve">guang:
11/24 出1台(3廠)
1/2 研磨 OK
1/2 出1台(3廠-HA18100401)
8/19 研磨 OK
4/29 出1台(3廠-HA19021501)(28062)
12/30 出1台(3廠-HA20102301)(28339)
22/1/12 研磨 OK(000400001678)
1/13 出1台(3廠-HA21122101-100001093-000400001678)
23/4/25 研磨 OK(000400003427)
4/26 出1台(3廠-HA23041701-100002221-000400003427)
25/8/26 研磨 OK(000400005889)
8/26 出1台(3廠-HA25081501-100003320-000400005889)
</t>
      </text>
    </comment>
    <comment ref="C35" authorId="0" shapeId="0">
      <text>
        <t xml:space="preserve">guang:
1/25 入1台(YJF)
7/17 入1台(YJF)
2/22 入1台(YJF)
3/12 入1台(YJF)
6/28 入1台(YJF)
1/10 入1台(YJF)
3/16 入1台(YJF)
21/9/24 入1台(YJF)
23/7/5 入1台(YJF-#3689)
9/21 入1台(YJF-#3860)
24/7/23 入1台(YJF-#4839)
10/15 入1台(YJF-#5092)
25/8/14 入1台(YJF-#5915)
</t>
      </text>
    </comment>
    <comment ref="D35" authorId="0" shapeId="0">
      <text>
        <t xml:space="preserve">guang:
10/7 M4*1 OK(813)
3/6 M4*1 OK(17M)
9/12 M4*1 OK(813)
2/23 M4*1 OK(813)
3/12 M4*1 OK(813)
9/3 M4*1 OK(813)
1/15 M4*1 OK(17M)
7/29 M4*1 OK(813)
8/3 出1台(YJF載回處理-變形量過大)
8/14 入1台(YJF載回)
21/9/29 M4*1 OK(813-1685)
23/7/7 M4*1 OK(813-#3689)
10/2 M4*1 OK(813-#3860)
24/7/31 M4*1 OK(17M-#4839)
10/18 M4*1 OK(813-#5092)
25/8/22 M4*1 OK(17M-#5915)
</t>
      </text>
    </comment>
    <comment ref="E35" authorId="0" shapeId="0">
      <text>
        <t>guang:
11/18 M3*1(半)(813)OK
guang:
10/26 M3*1(成品)(813)OK
3/10 M3*1(半)(17M)OK
3/19 M3*1(成品)(17M)OK
9/17 M3*1(半)(813)OK
10/01 M3*1(成品)(813)OK
2/28 M3*1(半)(813)OK
3/11 M3*1(成品)(17M)OK
3/28 M3*1(成品)(813)OK
9/18 M3*1(半)(813)OK
10/1 M3*1(成品)(813)OK
2/7 M3*1(半)(813)OK
2/26 M3*1(成品)(813)OK
9/9 M3*1(半)(813)OK
10/6 M3*1(成品)(813)OK
21/10/9 M3*1(半)(813-1685)OK
10/20 M3*1(成)(813-1685)OK
10/21 轉台典研(HA21102001-100000817-000400001685)
guang:
23/7/13 M3*1 OK(半)(813-#3689)
7/25 M3*1 OK(成)(813-#3689)
10/7 M3*1 OK(半)(813-#3860)
10/18 M3*1 OK(成)(813-#3860)
10/19 轉台典研(HA23101801-100002503-000400003860)
guang:
24/8/19 M3*1 OK(半)(813-#4839)
9/16 M3*1 OK(成)(17M-#4839)
10/24 轉台典研(HA24091401-100002869-000400004839)
10/29 M3*1 OK(半)(813-#5092)
11/12 M3*1 OK(成)(17M-#5092)
guang:
11/22 轉台典研(HA24112001-100002929-000400005092)
hsinwei:
25/9/5 M3*1 OK(半)(813-#5915)
25/9/25 M3*1 OK(成)(17M-#5915)
12/04 轉台典研(HA25092501-100003360-000400005915)</t>
      </text>
    </comment>
    <comment ref="F35" authorId="0" shapeId="0">
      <text>
        <t xml:space="preserve">guang:
11/6 出1台(3廠)
10/19 出1台(3廠)
3/20 研*1 OK
3/21 出1台(3廠-HA19031101)
4/12 研*1 OK
4/12 出1台(3廠-HA19032801)
10/9 研*1 OK
10/9 出1台(3廠-HA19100101)
3/9 研*1 OK
3/10 出1台(3廠-HA20022601)
10/26 研*1 OK
12/30 出1台(3廠-HA20102301)(28339)
guang:
23/8/14 研*1 OK(#3689)
8/14 出1台(3廠-HA23072501-100002466-#3689)
</t>
      </text>
    </comment>
    <comment ref="C36" authorId="0" shapeId="0">
      <text>
        <t xml:space="preserve">guang:
1/25 入1台(YJF)
7/17 入1台(YJF)
2/22 入1台(YJF)
3/12 入1台(YJF)
6/28 入1台(YJF)
1/10 入1台(YJF)
3/16 入1台(YJF)
21/9/24 入1台(YJF)
23/7/5 入1台(YJF-#3690)
9/14 入1台(YJF-#3861)
24/7/23 入1台(YJF-#4840)
10/15 入1台(YJF-#5093)
25/8/14 入1台(YJF-#5916)
</t>
      </text>
    </comment>
    <comment ref="D36" authorId="2" shapeId="0">
      <text>
        <t xml:space="preserve">ralf:
10/11 M4 OK*1 (813)
3/6 M4*1 OK(17M)
9/13 M4*1 OK(813)
2/25 M4*1 OK(813)
3/13 M4*1 OK(813)
9/3 M4*1 OK(813)
1/15 M4*1 OK(17M)
7/29 M4*1 OK(813)
21/9/29 M4*1 OK(813-1686)
guang:
23/7/13 M4*1 OK(813-#3690)
10/2 M4*1 OK(813-#3861)
guang:
24/8/2 M4*1 OK(17M-#4840)
10/21 M4*1 OK(813-#5093)
25/8/25 M4*1 OK(17M-#5916)
</t>
      </text>
    </comment>
    <comment ref="E36" authorId="0" shapeId="0">
      <text>
        <t>guang:
11/19 M3*1(半)(813)OK
guang:
10/26 M3*1(成品)(813)OK
3/13 M3*1(半)(17M)OK
3/19 M3*1(成品)(17M)OK
9/18 M3*1(半)(813)OK
10/01 M3*1(成品)(813)OK
3/4 M3*1(半)(813)OK
3/11 M3*1(成品)(17M)OK
3/28 M3*1(成品)(813)OK
9/18 M3*1(半)(813)OK
10/1 M3*1(成品)(813)OK
2/11 M3*1(半)(813)OK
2/26 M3*1(成品)(813)OK
9/14 M3*1(半)(813)OK
10/6 M3*1(成品)(813)OK
21/10/12 M3*1(半)(813-1686)OK
10/20 M3*1(成)(813-1686)OK
10/21 轉台典研(HA21102001-100000817-000400001686)
guang:
23/7/17 M3*1 OK(半)(813-#3690)
7/25 M3*1 OK(成)(813-#3690)
10/7 M3*1 OK(半)(813-#3861)
10/18 M3*1 OK(成)(813-#3861)
10/19 轉台典研(HA23101801-100002503-000400003861)
24/8/21 M3*1 OK(半)(813-#4840)
9/16 M3*1 OK(成)(17M-#4840)
10/24 轉台典研(HA24091401-100002869-000400004840)
10/31 M3*1 OK(半)(813-#5093)
11/12 M3*1 OK(成)(17M-#5093)
guang:
11/22 轉台典研(HA24112001-100002929-000400005093)
hsinwei:
25/9/9 M3*1 OK(半)(813-#5916)
25/9/25 M3*1 OK(成)(17M-#5916)
12/04 轉台典研(HA25092501-100003360-000400005916)</t>
      </text>
    </comment>
    <comment ref="F36" authorId="0" shapeId="0">
      <text>
        <t xml:space="preserve">guang:
11/6 出1台(3廠)
10/19 出1台(3廠)
3/20 研*1 OK
3/21 出1台(3廠-HA19031101)
4/12 研*1 OK
4/12 出1台(3廠-HA19032801)
10/9 研*1 OK
10/9 出1台(3廠-HA19100101)
3/9 研*1 OK
3/10 出1台(3廠-HA20022601)
10/26 研*1 OK
12/30 出1台(3廠-HA20102301)(28339)
guang:
23/8/14 研*1 OK(#3690)
8/14 出1台(3廠-HA23072501-100002466-#3690)
</t>
      </text>
    </comment>
    <comment ref="C37" authorId="2" shapeId="0">
      <text>
        <t xml:space="preserve">ralf:
6/6 入1 (永棧)
guang:
8/7 入1 (永棧)
8/28 入1台(YZ)
11/29 入1台(YZ)
12/19 入1台(YZ)
5/20 入1台(YZ)
22/7/21 入1台(LD-#2969)
guang:
23/12/25 入1台(LD-#4164)
12/27 出1台(傑晃-#4164)
</t>
      </text>
    </comment>
    <comment ref="D37" authorId="0" shapeId="0">
      <text>
        <t xml:space="preserve">guang:
6/23 M4*1 OK(813)
6/26 M4*1 OK(813)
9/5 M4*1 OK(813)
9/11 MAIN-OK(813)
ralf:
10/6 M4*1OK(813)
12/11 M4*1OK(813)
5/26 M4*1OK(813)
22/7/22 M4*1OK(813-#2969)
</t>
      </text>
    </comment>
    <comment ref="E37" authorId="0" shapeId="0">
      <text>
        <t xml:space="preserve">guang:
6/30 M3*1(半)(813)
7/12 M3*1(成品)(813)
7/14 出1台(轉台典研)
9/19 M3*1(成品)(813)
guang:
9/21 轉台典研磨
guang:
9/22 M3*1(半)(813)
4/10 M3*1(半)(813)
4/18 M3*1(成品)(813)
4/19 出1台(轉台典研)
12/22 M3*1(半)(813)
1/4 M3*1(成品)(813)
1/9 出1台(轉台典研)
5/14 M3*1(半)(813)
5/28 M3*1(成品)(813)
5/31 出1台(轉台典研-HA19052802)
6/11 M3*1(半)(813)
6/24 M3*1(成品)(813)
6/30 出1台(轉台典研-HA20062401)
22/7/29 M3*1(半成品)(813-#2969)
8/10 M3*1(成品)(813-#2969)
8/12 出1台(轉台典研-HA22081001-100001755-000400002969)
</t>
      </text>
    </comment>
    <comment ref="C38" authorId="2" shapeId="0">
      <text>
        <t xml:space="preserve">ralf:
軌道變形過大,結合面厚度不足408旁
8/7 入1台(YZ)
8/11入1台(YZ)
guang:
8/14 退1台(YZ)(料不足)
8/28 入1台(YZ)
11/28 入1台(YZ)
12/20 入1台(YZ)
5/27 入1台(YZ)
22/725 入1台(LD-#2970)
guang:
23/12/25 入1台(LD-#4165)
12/27 出1台(傑晃-#4165)
</t>
      </text>
    </comment>
    <comment ref="D38" authorId="0" shapeId="0">
      <text>
        <t xml:space="preserve">guang:
6/26 M4*1 OK(813)
9/5 M4*1 OK(813)
9/6 M4*1 OK(813)
9/13M3 VICE OK(813)
4/3 M4*1 OK(813)
12/12 M4*1 OK(813)
5/27 M4*1 OK(17M)
22/7/23 M4*1 OK(409-#2970)
</t>
      </text>
    </comment>
    <comment ref="E38" authorId="0" shapeId="0">
      <text>
        <t xml:space="preserve">guang:
7/4 M3*1(半)(813)
7/12 M3*1(成品)(813)
7/14 出1台(轉台典研)
9/19 M3*1(成品)(813)
guang:
9/21 轉台典研磨
9/25 M3*1(半)(813)
4/11 M3*1(半)(813)
4/18 M3*1(成品)(813)
4/19 出1台(轉台典研)
12/25 M3*1(半)(813)
1/4 M3*1(成品)(813)
1/9 出1台(轉台典研)
5/16 M3*1(半)(813)
5/28 M3*1(成品)(813)
5/31 出1台(轉台典研-HA19052802)
6/16 M3*1(半)(813)
6/24 M3*1(成品)(813)
6/30 出1台(轉台典研-HA20062401)
22/8/1 M3*1(半成品)(813-#2970)
8/10 M3*1(成品)(813-#2970)
8/12 出1台(轉台典研-HA22081001-100001755-000400002970)
</t>
      </text>
    </comment>
    <comment ref="C39" authorId="3" shapeId="0">
      <text>
        <t xml:space="preserve">hsinwei:
25/9/2 入1台(YJF-#5952)
</t>
      </text>
    </comment>
    <comment ref="D39" authorId="3" shapeId="0">
      <text>
        <t xml:space="preserve">hsinwei:
25/9/12 M4*1OK(17M-#5952)
</t>
      </text>
    </comment>
    <comment ref="E39" authorId="0" shapeId="0">
      <text>
        <t>guang:
25/10/29 M3*1OK(813-#5952)半
11/26 M3*1OK(17M-#5952)
12/1 出台典-#5952-100003370</t>
      </text>
    </comment>
    <comment ref="F39" authorId="0" shapeId="0">
      <text>
        <t xml:space="preserve">guang:
</t>
      </text>
    </comment>
    <comment ref="C40" authorId="3" shapeId="0">
      <text>
        <t xml:space="preserve">hsinwei:
25/9/2 入1台(YJF-#5953)
</t>
      </text>
    </comment>
    <comment ref="D40" authorId="3" shapeId="0">
      <text>
        <t xml:space="preserve">hsinwei:
25/9/15 M4*1OK(17M-#5953)
</t>
      </text>
    </comment>
    <comment ref="E40" authorId="0" shapeId="0">
      <text>
        <t>guang:
25/11/11 M3*1OK(17M-#5953)半
11/26 M3*1OK(17M-#5953)
12/1 出台典-#5953-100003370</t>
      </text>
    </comment>
    <comment ref="C41" authorId="3" shapeId="0">
      <text>
        <t xml:space="preserve">hsinwei:
25/10/8 入1台(LD-#5990)
</t>
      </text>
    </comment>
    <comment ref="D41" authorId="3" shapeId="0">
      <text>
        <t xml:space="preserve">hsinwei:
25/10/9 M4*1 OK(813-#5990)
10/13 出1台(#5990-中凹19mm)
</t>
      </text>
    </comment>
    <comment ref="F41" authorId="0" shapeId="0">
      <text>
        <t xml:space="preserve">guang:
</t>
      </text>
    </comment>
    <comment ref="C42" authorId="3" shapeId="0">
      <text>
        <t xml:space="preserve">hsinwei:
25/8/11 入1台(LD-#5910)
</t>
      </text>
    </comment>
    <comment ref="D42" authorId="3" shapeId="0">
      <text>
        <t>hsinwei:
25/8/21 M4*1 OK(17M-#5910)</t>
      </text>
    </comment>
    <comment ref="E42" authorId="3" shapeId="0">
      <text>
        <t>hsinwei:
25/9/17 M3*1 OK(813-#5910)
10/27 出1台(傑晃-#5910)</t>
      </text>
    </comment>
    <comment ref="C43" authorId="2" shapeId="0">
      <text>
        <t xml:space="preserve">ralf:
409前
10/23 入1台(YZ)
3/15 入1台(YZ)
4/17 入1台(YZ)
guang:
4/23 入1台(YZ)+1000
5/6 入1台(YZ)+1000
6/18 入1台(YZ)+1000
12/12 入1台(YZ)+1000
guang:
22/2/22 入1台(YZ-#2308)+1000
3/7 入1台(YZ-#2406)+1000
guang:
22/8/8 入1台(LD-#3008)
guang:
24/3/18 入1台(LD-#4405)
4/30 入1台(LD-#4405-換)
25/4/23 入1台(LD-#5684)
</t>
      </text>
    </comment>
    <comment ref="D43" authorId="0" shapeId="0">
      <text>
        <t xml:space="preserve">guang:
7/7 M4*1 OK(409)
11/14 M4*1 OK(813)
5/7 M4*1 OK(813)
5/8 M4*1 OK(813)
4/29 M4*1 OK(409)
5/22 M4*1 OK(409)
6/21 M4*1 OK(523)
12/17 M4*1 OK(409)
22/3/1 M4*1 OK(409-#2308)
3/10 M4*1 OK(813-#2406)
8/11 M4*1 OK(409-#3008)
guang:
24/5/9 M4*1 OK(813-#4405)
25/5/20 M4*1 OK(409-#5684)
</t>
      </text>
    </comment>
    <comment ref="E43" authorId="0" shapeId="0">
      <text>
        <t xml:space="preserve">guang:
8/14 M3*1 OK(813)
12/19 M3*1 OK(813)
2/27 出1台(轉台典研)
5/10 M3*1 OK(813)
5/12 M3*1 OK(813)
5/29 出1台(轉台典研)
6/13 出1台(轉台典研)
5/3 M3*1 OK(409)
5/8 出1台(轉台典研-HA19050301)
5/28 M3*1 OK(409)
5/31 出1台(轉台典研-HA19052802)
6/26 M3*1 OK(523)
6/28 出1台(轉台典研-HA19062601)
12/24 M3*1 OK(409)
22/3/5 M3*1 OK(409-#2308)
3/8 送中熱(#2308)
3/9 回3廠(#2308)
3/14 M3*1 OK(813-#2406)
3/16 送中熱(#2406)
8/16 M3*1 OK(409-#3008)
8/18 送中熱(#3008)
8/22 回廠研磨(#3008)
guang:
24/5/17 M3*1 OK(813-#4405)
5/22 送中熱(#4405)
5/27 回廠研磨(#4405)
5/30 送台典研(#4405-100002725)
25/5/27 M3*1 OK(813-#5684)
6/3 送中熱(#5684)
hsinwei:
</t>
      </text>
    </comment>
    <comment ref="F43" authorId="0" shapeId="0">
      <text>
        <t xml:space="preserve">guang:
1/7 研磨*1 OK
1/7 出1台(3廠-HA19122401)
22/3/16 研磨*1 OK(#2308)
3/16 出1台(3廠-HA22030401-100001464-000400002308)
3/23 研磨*1 OK(#2406)
3/23 出1台(3廠-HA22031401-100001465-000400002406)
10/4 研磨*1 OK(#3008)
001289:
11/3 出1台(3廠-HA22081601-100001941-000400003008)
25/6/30 研磨*1 OK(#5684)
7/9 出1台(3廠-HA25052801-100003254-000400005684)
</t>
      </text>
    </comment>
    <comment ref="G43" authorId="0" shapeId="0">
      <text>
        <t xml:space="preserve">guang:
3/28 NG*1(813-#4405)-X軸與Z軸結合位置翻鑄錯誤
4/22 出1台(LD載回-#4405--X軸與Z軸結合位置翻鑄錯誤)
</t>
      </text>
    </comment>
    <comment ref="C44" authorId="0" shapeId="0">
      <text>
        <t xml:space="preserve">guang:
12/26 入1台(YZ)
guang:
guang:
23/8/21 入1台(LD-#3777)
guang:
</t>
      </text>
    </comment>
    <comment ref="D44" authorId="0" shapeId="0">
      <text>
        <t xml:space="preserve">guang:
12/31 M4*1 OK(813)
23/8/28 M4*1 OK(813-#3777)
</t>
      </text>
    </comment>
    <comment ref="E44" authorId="0" shapeId="0">
      <text>
        <t xml:space="preserve">guang:
12/9 M3*1 OK(813)
23/9/12 M3*1 OK(813-#3777)
10/3 出1台(中熱轉台典研-#3777)
</t>
      </text>
    </comment>
    <comment ref="F44" authorId="2" shapeId="0">
      <text>
        <t xml:space="preserve">ralf:
10/6 研磨OK*1
guang:
10/26 出1台
1/21 研磨OK*1
1/30 出1台(三廠-HA20010901)
</t>
      </text>
    </comment>
    <comment ref="C45" authorId="0" shapeId="0">
      <text>
        <t xml:space="preserve">guang:
23/8/10 入1台(LD-#3759)
24/3/27 入1台(LD-#4435)
25/4/23 入1台(LD-#5683)
</t>
      </text>
    </comment>
    <comment ref="D45" authorId="0" shapeId="0">
      <text>
        <t xml:space="preserve">guang:
23/8/23 M4*1 OK(813-#3759)
guang:
24/4/2 M4*1 OK(813-#4435)
24/5/3 M4*1 OK(409-#5684)
</t>
      </text>
    </comment>
    <comment ref="E45" authorId="0" shapeId="0">
      <text>
        <t xml:space="preserve">guang:
23/9/5 M3*1 OK(813-#3759)
9/13 出1台(中熱-#3759)
9/18 入1台(三廠研-#3759)
9/21 出1台(台典-#3759)
guang:
24/4/8 M3*1 OK(813-#4435)
4/24 出1台(中熱-#4435)
4/29 入1台(三廠研-#4435)
25/5/8 M3*1 OK(409-#5683)
5/16 出1台(中熱-#5683)
5/19 入1台(三廠研-#5683)
hsinwei:
</t>
      </text>
    </comment>
    <comment ref="F45" authorId="0" shapeId="0">
      <text>
        <t xml:space="preserve">guang:
24/5/16 研磨*1 OK(#4435)
6/11 出1台(三廠-HA24040801-100002725)
25/6/4 研磨*1 OK(#5683)
7/9 出1台(3廠-HA25050701-100003254-000400005683)
</t>
      </text>
    </comment>
    <comment ref="C46" authorId="0" shapeId="0">
      <text>
        <t xml:space="preserve">guang:
5/10 入1台(YZ)
guang:
23/1/10 入1台(LD-#3344)
2/8 入1台(LD-#3344-換)
guang:
hsinwei:
25/10/3 入1台(LD-#5985)
</t>
      </text>
    </comment>
    <comment ref="D46" authorId="0" shapeId="0">
      <text>
        <t>guang:
5/30 M4*1 OK(409)
001289:
23/1/16 M4*1 OK(813)
25/11/07 M4*1 OK(813-#5985)</t>
      </text>
    </comment>
    <comment ref="E46" authorId="0" shapeId="0">
      <text>
        <t>guang:
6/10 M3*1 OK(409)
6/14 出1台 轉台典研(HA19061001)
guang:
23/2/16 M3*1 OK(HA23021601-#3344)
8/30 出1台(轉中熱-HA23021601-#3344)
9/4 入1台(中熱-HA23021601-#3344)
25/11/12 M3*1 OK(410-#5985)</t>
      </text>
    </comment>
    <comment ref="F46" authorId="0" shapeId="0">
      <text>
        <t>guang:
guang:
23/12/25 研磨OK(#3344)
guang:
24/4/30 出1台(三廠-100002775-#3344)
25/11/26 研磨OK(#5985)
11/27 出1台(三廠-100003393-#5985)</t>
      </text>
    </comment>
    <comment ref="J46" authorId="0" shapeId="0">
      <text>
        <t xml:space="preserve">guang:
2/7 HA23020701-#3344報廢
guang:
2/21 出1台(LD載走-#3344)
</t>
      </text>
    </comment>
    <comment ref="C47" authorId="0" shapeId="0">
      <text>
        <t xml:space="preserve">guang:
5/10 入1台(YZ)
guang:
23/1/11 入1台(LD-#3345)
hsinwei:
25/10/3 入1台(LD-#5986)
</t>
      </text>
    </comment>
    <comment ref="D47" authorId="0" shapeId="0">
      <text>
        <t>guang:
5/24 M4*1 OK(409)
23/1/16 M4*1 OK(409-#3345)
25/11/4 M4*1 OK(17M-#5986)</t>
      </text>
    </comment>
    <comment ref="E47" authorId="0" shapeId="0">
      <text>
        <t>guang:
6/4 M3*1 OK(409)
6/14 出1台 轉台典研(HA19060401)
23/1/16 M3*1 OK(813-#3345)
guang:
2/8 出1台(HA23020201-#3345-中熱)
2/10 回1台(HA23020201-#3345-中熱)
25/11/7 M3*1 OK(410-#5986)               11/11出1台(HA25110701-#5986-中熱)
11/13回1台(HA25110701-#5986-中熱)</t>
      </text>
    </comment>
    <comment ref="F47" authorId="0" shapeId="0">
      <text>
        <t>guang:
23/6/28 研磨OK(#3345)
guang:
24/4/30 出1台(三廠-100002775-#3345)
25/11/19 研磨OK(#5986)
11/27 出1台(三廠-100003393-#5986)</t>
      </text>
    </comment>
    <comment ref="C48" authorId="0" shapeId="0">
      <text>
        <t xml:space="preserve">guang:
1/13 出2台(轉隆昇加工)
12/21 入1台(YK)
9/29 入1台(YK)
21/3/17 入1台(YK)
</t>
      </text>
    </comment>
    <comment ref="D48" authorId="0" shapeId="0">
      <text>
        <t xml:space="preserve">guang:
2/27 M4*1 OK(408)
9/30 M4*1 OK(408)
21/4/1 M4*1 OK(410)
</t>
      </text>
    </comment>
    <comment ref="E48" authorId="2" shapeId="0">
      <text>
        <t xml:space="preserve">ralf:
熱處理區12/5
5/17 出1台(轉台典研)
guang:
6/16 M3*1 OK(409)
7/31 出1台(轉台典研)(HA17061601)
9/7 M3*1 OK(410)
12/7 出1台(轉台典研)(HA18090701)
10/8 M3*1 OK(409)
21/4/14 M3*1 OK(409-000400000460)
</t>
      </text>
    </comment>
    <comment ref="F48" authorId="0" shapeId="0">
      <text>
        <t xml:space="preserve">guang:
guang:
隆升入-12/25記
3/6 出1台(6路-HA17021301)
11/11 出1台(隆升研磨)
10/22 研磨OK
10/23 出1台(本廠-HA20100801-機號:27270)
21/7/26 研磨OK(000400000460)
22/8/18 出1台(本廠-HA21041401-100001825-000400000460)
</t>
      </text>
    </comment>
    <comment ref="C49" authorId="0" shapeId="0">
      <text>
        <t xml:space="preserve">guang:
1/9 入1台(YK)
3/20 入2台(YK)
4/25 入2台(YK)
5/17 入2台(YK)
5/21 入1台(YZ)
6/7 入2台(YZ)
6/19 入2台(YK)
6/22 入1台(YZ)
6/25 入2台(YZ)
6/25 入2台(YK)
6/28 入1台(YZ)
7/6 入1台(YZ)
7/18 入1台(YZ)
7/24 入3台(YK)
9/10 入2台(YZ)
9/26 入1台(YZ)
10/29 入1台(YK)
10/30 入1台(YK)
21/1/6 入2台(YZ)
6/23 入1台(YZ)
9/13 入2台(YZ)
22/1/13 入1台(YZ-#2180)
1/17 入1台(YZ-#2187)
hsinwei:
25/7/4 入2台(LD-#5839)
</t>
      </text>
    </comment>
    <comment ref="D49" authorId="0" shapeId="0">
      <text>
        <t xml:space="preserve">guang:
2/27 M4*1 OK(408)
4/17 M4*2 OK(408)
5/3 M4*2 OK(813)
6/26 M4*1 OK(408)
6/30 M4*1 OK(410)
7/2 M4*3 OK(410)
7/3 M4*5 OK(410)
7/4 M4*3 OK(410)
7/16 M4*1 OK(523)
8/6 M4*2 OK(410)
8/7 M4*2 OK(410)
10/4 M4*3 OK(408)
11/11 M4*2 OK(409)
21/1/13 M4*1 OK(409)
1/14 M4*1 OK(409)
6/30 M4*1 OK(409)
9/15 M4*1 OK(409-1641)
9/16 M4*1 OK(409-1641)
22/1/14 M4*1 OK(17M-2180)
1/18 M4*1 OK(17M-2187)
25/7/9 M4*2 OK(813-5839)
hsinwei:
</t>
      </text>
    </comment>
    <comment ref="E49" authorId="2" shapeId="0">
      <text>
        <t xml:space="preserve">ralf:
2台已送台典研磨有訂單
4/19 M3*1 OK(523)
4/21 M3*1 OK(523)
4/24 M3*1 OK(523)
4/26 出3台(轉台典研)
5/9 M3*1 OK(523)
5/11 M3*1 OK(523)
6/4 出2台(轉台典研)
7/11 M3*1 OK(523)
7/12 M3*1 OK(523)
7/16 M3*1 OK(523)
7/30 M3*1 OK(523)
8/1 M3*1 OK(523)
8/3 M3*1 OK(523)
8/3 出4台(轉台典研-HA18073002,071202,071601,071101)
8/7 出2台(轉台典研-HA18080301,HA18080101)
8/16 M3*1 OK(523)
8/17 M3*1 OK(523)
8/20 M3*1 OK(410)
8/20 M3*1 OK(523)
8/22 出2台(轉台典研-HA18081702,HA18081601)
8/22 M3*1 OK(523)
8/23 M3*1 OK(410)
8/24 M3*1 OK(523)
8/27 M3*1 OK(410)
8/27 出2台(轉台典研-HA18082001,HA18082002)
8/27 M3*1 OK(523)
8/29 出2台(轉台典研-HA18082401,HA18082202)
8/29 M3*1 OK(523)
8/29 M3*1 OK(410)
8/31 M3*1 OK(523)
9/4 出2台(轉台典研-HA18082301,HA18082702)
9/6 出2台(轉台典研-HA18082901,HA18083102)
9/14 出2台(轉台典研-HA18082701,HA18082901)
10/8 M3*1 OK(410)
10/12 M3*1 OK(410)
10/16 M3*1 OK(410)
12/3 出2台(轉台典研-HA18100801,HA18101201)
12/7 出1台(轉台典研-HA18101602)
11/25 M3*1 OK(409)
11/28 M3*1 OK(409)
21/3/17 M3*1 OK(409-000400000071)
3/20 M3*1 OK(409-000400000071)
5/13 出1台(轉中熱-HA21032001-000400000071-送台典研)
5/13 出1台(轉中熱-HA21031701-
000400000071-送台典研)
22/1/24 M3*1 OK(17M-000400002187)
2/7 M3*1 OK(17M-000400001641)
2/10 M3*1 OK(17M-000400001641)
2/14 M3*1 OK(17M-000400002180)
2/17 M3*1 OK(17M-000400001126)
25/5/28 出1台(轉中熱-HA22021001-
000400001641)
5/28 出1台(轉中熱-HA22021001-
000400001641)
7/15 M3*1 OK(813-000400005839)
8/4 M3*1 OK(409-000400005839)
</t>
      </text>
    </comment>
    <comment ref="F49" authorId="0" shapeId="0">
      <text>
        <t>guang:
4/9 研磨OK*1
7/29 出1台(6路-HA19112801-配28007)
8/5 入1台(中凹4條)-退磨
8/14 退磨OK
8/24 研磨OK*1
11/10 出1台(6路-HA19112801-配28332)
22/3/8 出1台(6路-HA19112501-100001504)
4/7 研磨OK*1-#2187
4/14 出1台(6路-HA22012401-000400002187-100001627)
4/26 研磨OK*1-#2180
8/18 研磨OK*1-#1126
9/8 出1台(6路-HA22021401-000400002180-100001995)
24/2/27 出1台(6路-HA22021701-000400001126-100002745)
25/6/16 研磨OK*1-#1641
6/17 出1台(6路-HA22020701-000400001641-100003299)
6/24 研磨OK*1-#1641
6/24 出1台(6路-HA22021001-000400001641-100003300)
25/11/13 研磨OK*1-#3342</t>
      </text>
    </comment>
    <comment ref="C50" authorId="2" shapeId="0">
      <text>
        <t>ralf:
2/9 入1楊綱
1/30 入2台(YK)
4/16 入1台(YK)
6/28 入1台(YZ)
7/15 入1台(YZ)
5/26 入1台(YZ)
21/1/14 入1台(YZ)
1/21 入1台(YZ)
3/8 入1台(YZ)
4/9 入1台(YK)
6/21 入1台(YZ)
7/6 入1台(YZ)
7/29 入2台(YZ)
8/9 入1台(YZ)
8/23 入1台(YZ)
8/25 入1台(YZ)
9/2 入1台(YZ)
9/23 入1台(YZ)
11/8 入1台(YK-補件-000400000328)
1/10 入1台(YZ-#2157)
1/13 入1台(YZ-#2181)
9/21 入1台(LD-#3132)
10/3 入1台(LD-#3151)
23/8/24 入1台(LD-#3806) 
9/6 入1台(LD-#3820)
24/7/22 入1台(LD-#4816)
8/1 入1台(LD-#4816)
8/27 入1台(YK-#4910)
9/5 入1台(LD-#4816)
guang:
25/3/6 入1台(YK-#5515)
3/7 入1台(LD-#4816)-換
3/13 入1台(LD-#5543)
3/24 入1台(LD-#5585)
3/26 入1台(LD-#4816)-換2
4/10 入1台(YK-#5643)
6/12 入1台(LD-#5543)-換
7/1 入1台(LD-#5852)
10/27 入1台(LD-#6008)
11/13 入1台(LD-#6008)-換
12/2 入1台(LD-#6069)
12/8 入1台(YK-#6082)
12/18 入1台(LD-#6106)</t>
      </text>
    </comment>
    <comment ref="D50" authorId="0" shapeId="0">
      <text>
        <t>guang:
2/28 M4*2 OK(408)
4/19 M4*1 OK(408)
7/3 M4*1 OK(409)
7/17 M4*1 OK(408)
6/17 M4*1 OK(813)
21/1/15 M4*1 OK(409)
1/22 M4*1 OK(813)
3/9 M4*1 OK(813)
4/15 M4*1 OK(17M)
6/22 M4*1 OK(409)
7/7 M4*1 OK(409)
7/30 M4*2 OK(409)
8/12 M4*1 OK(17M-1348)
9/7 M4*2 OK(17M-1499，1515)
9/8 M4*1 OK(17M-1405)
10/18 M4*1 OK(408-1672)
11/10 M4*1 OK(408-1512)
22/1/14 M4*1 OK(17M-2157)
1/14 M4*1 OK(17M-2181)
10/5 M4*1 OK(409-#3132)
10/5 M4*1 OK(409-#3151)
23/8/29 M4*1 OK(813-#3806)
9/7 M4*1 OK(409-#3820)
guang:
24/7/23 M4*1 OK(17M-#4816)
guang:
8/30 M4*1 OK(17M-#4910)
9/13 M4*1 OK(17M-#4816)-補
guang:
25/3/7 M4*1 OK(813-#5515)
3/26 M4*1 OK(17M-#5585)
4/1 M4*1 OK(813-#4816)-補2
4/18 M4*1 OK(17M-#5643)
7/1 M4*1 OK(813-#5543)
7/2 M4*1 OK(813-#5852)
11/3 M4*1 OK(17M-#6008)(NG-軌道通寶)
11/14 M4*1 OK(813-#6008)
12/3 M4*1 OK(410-#6069)</t>
      </text>
    </comment>
    <comment ref="E50" authorId="0" shapeId="0">
      <text>
        <t>guang:
2/18 轉隆升研磨*1台guang:
4/30 M3*1 OK(813)
5/3 M3*1 OK(813)
5/8 出1台(轉台典)
5/15 出1台(轉台典)
4/25 M3*1 OK(523)
4/30 出1台(轉台典-HA19042501)
7/12 M3*1 OK(523)
8/12 M3*1 OK(523)
8/12 出1台(轉台典-HA19071201)
3/10 出1台(轉台典-HA19081201)
6/30 M3*1 OK(409)
10/26 出1台(中熱二次處理)
11/2 出1台(轉中熱-HA20063001-轉台典-送六路-28215)
21/1/22 M3*1 OK(813)
1/29 M3*1 OK(813)
3/12 M3*1 OK(813)
5/13 出1台(轉台典研-HA21012901-000400000575)
5/13 出1台(轉台典研-HA21031201-000400000079)
5/18 M3*1 OK(409-000400000328)(軌道通寶)
6/30 M3*1 OK(409-000400000328-補件)
7/2 出1台(轉中熱-HA21063001-000400000328)
7/12 M3*1 OK(409-000400000269)
7/14 出1台(轉中熱-HA21071201-10000887-000400000269)
7/14 出1台(軌道通寶-楊鋼載回-HA21051801)
7/30 M3*1 OK(409-000400001097)
8/5 出1台(轉中熱-HA21080401-10000842-000400001097)
8/9 M3*1 OK(409-000400001226)
8/11 出1台(轉中熱-HA21080701-10000844-000400001226)
8/23 M3*1 OK(409-000400001348)
9/28 M3*1 OK(409-000400001499)
22/1/24 M3*1 OK(813-000400002157)
2/8 M3*1 OK(813-000400002181)
6/15 M3*1 OK(409-000400001512)
8/17 M3*1 OK(409-000400001672)
8/25 出1台(中熱-HA22061501-#1512)
8/29 入1台(中熱-HA22061501-#1512)
8/29 出1台(中熱-HA22081701-#1672)
8/30 入1台(中熱-HA22081701-#1672)
8/31 M3*1 OK(409-000400001515)
9/5 M3*1 OK(409-000400001405)
10/11 M3*1 OK(409-000400003132)
10/17 M3*1 OK(409-000400003151)
23/2/13 出1台(中熱-HA22101701-#3151)
9/6 M3*1 OK(409-000400003806)
9/11 出1台(中熱後轉台典研-HA23090601-100002459-#3806)
10/24 M3*1 OK(409-000400003820)
10/30 出1台(中熱-HA23102401-100002588-#3820)
guang:
24/7/30 M3 NG(409-#4816)-軌道通寶
8/3 M3*1 OK(409-000400004816)(軌道通寶-採購特採處理)
10/14 M3*1 OK(813-000400004910)
25/2/5 出1台(中熱-HA24101401-#4910)
2/6 回1台(中熱-HA24101401-#4910)
3/12 M3*1 OK(409-000400005515)
3/13 出1台(中熱-HA25031201-#5515)
3/14 回1台(中熱-HA25031201-#5515)
4/9 M3*1 OK(409-000400005585)
4/15 M3*1 OK(409-000400004816)
4/15 出1台(中熱-HA25040901-#5585)
4/16 回1台(中熱-HA25040901-#5585)
4/24 出1台(中熱-HA25041501-#4816)
4/28 回1台(中熱-HA25041501-#4816)
4/30 M3*1 OK(409-000400005643)
5/6 出1台(中熱-HA25043001-#5643)
5/7 回1台(中熱-HA25043001-#5643)
7/12 M3*1 OK(409-000400005852)
7/7 M3*1 OK(409-000400005543)
7/12 M3*1 OK(409-000400005852)
7/14 出1台(中熱-HA25070701-#5543)
10/23 出1台(中熱-HA25061201-#5852)
10/27 回1台(中熱-HA25061201-#5852)
11/21 M3*1 OK(410-#6008)
12/11 M3*1 OK(410-000400006069)</t>
      </text>
    </comment>
    <comment ref="F50" authorId="2" shapeId="0">
      <text>
        <t>ralf:
1/10 出本廠
1/17出本廠
1/18出本廠
21/2/19 研磨*1 OK
2/20 出1台(本廠-HA21012201-100000241)
11/4 研磨*1 OK(1348)
11/11 研磨*1 OK(1499)
12/9 出1台(3廠-HA21082301-100001324-000400001348)
22/1/18 出1台(3廠-HA21092801-100001325-000400001499)
5/3 研磨*1 OK(000400002181)
5/31 出1台(本廠-HA22020801-100001742-000400002181)
8/5 研磨*1 OK(000400002157)
22/8/5 出1台(本廠-HA22012401-100001939-000400002157)
9/2 研磨*1 OK(000400001512)
9/5 出1台(本廠-HA22061501-100001978-000400001512)
9/14 研磨*1 OK(000400001672)
001289:
10/19 研磨*1 OK(000400001515)
11/3 研磨*1 OK(000400001405)
11/7 出1台(本廠-HA22090501-100001979-000400001405)
11/11 出1台(本廠-HA22083101-100001980-000400001515)
23/2/3 出1台(三廠-HA22081701-100001981-000400001672)
3/17 研磨*1 OK(000400003151)
6/27 出1台(三廠-HA22101701-100002454-000400003151)
7/7 研磨*1 OK(000400003132)
guang:
7/21 出1台(本廠-HA22101101-100002455-000400003132)
12/19 出1台(本廠-HA23102401-100002588-000400003820)
24/8/21 研磨*1 OK(000400004816)
8/21 出1台(本廠-HA24080301-100002875-000400004816)
25/2/24 研磨*1 OK(000400004910)
2/25 出1台(本廠-HA24101401-100003196-000400004910)
3/19 研磨*1 OK(000400005515)
3/19 出1台(本廠-HA25031901-100003123-000400005515)
4/25 研磨*1 OK(000400005585)
4/25 出1台(本廠-HA25040901-100003197-000400005585)
5/7 研磨*1 OK(000400004816)
5/7 出1台(本廠-HA25041501-100003223-000400004816)
5/27 研磨*1 OK(000400005643)
7/8 出1台(本廠-HA25043001-100003341-000400005643)
001280:
7/29 研磨*1 OK(000400005543)
guang:
10/22 出1台(本廠-HA25070701-100003419-000400005543)
11/13 研磨*1 OK(000400005852)
11/13 出1台(三廠-HA25071201-100003342-000400005852)
12/10 研磨*1 OK(000400006008)
12/10 出1台(三廠-HA25112501-100003425-000400006008)
26/1/8 研磨*1 OK(000400006069)
1/8 出1台(本廠-HA25121101-100003453-000400006069)</t>
      </text>
    </comment>
    <comment ref="J50" authorId="0" shapeId="0">
      <text>
        <t xml:space="preserve">guang:
24/7/30 M3 NG(409-#4816)-軌道通寶
guang:
8/8 出1台(LD-#4816)
9/13 M4 NG(409-#4816)-地腳螺絲偏差
guang:
25/3/7 出1台(LD-#4816)guang:
3/19 NG*2台(LD-#4816，#5543)
25/3/26 出1台(LD-#4816)
25/6/4 出1台(LD-#5543)
11/3 M4*1 OK(17M-#6008)(NG-軌道通寶)
</t>
      </text>
    </comment>
    <comment ref="C51" authorId="2" shapeId="0">
      <text>
        <t xml:space="preserve">guang:
3/23 入1台(YK)
3/31 入1台(YK)
4/6 入1台(YK))
4/21 入1台(YK)
4/26 入1台(YK)
5/3 入1台(YK)
3/22 入1台(YK)
3/26 入1台(YK)
3/30 入1台(YK)
4/10 入1台(YK)
5/15 入1台(YK)
5/21 入1台(YK)
5/23 入2台(YK)
6/19 入1台(YK)
3/15 入1台(YK)
3/20 入1台(YK)
3/28 入1台(YK)
5/8 入1台(YK)
5/20 入1台(YK)
9/3 入2台(YK)
5/13 入1台(YK)
5/26 入1台(YK)
21/3/15 入1台(YK)
3/17 入1台(YK)
6/21 入1台(YK-換)
7/2 入1台(YK)
7/20 入1台(YK)
8/30 入1台(YK)
9/24 入1台(YK)
10/29 入1台(YK)
11/16 入1台(YK)
11/22 入1台(YK)
12/13 入2台(YK-#2042)
22/1/3 入1台(YK-#2042)
1/18 入1台(YK-#2084)
1/27 入1台(YK-#2242)
3/9 入1台(YK-#2414)
</t>
      </text>
    </comment>
    <comment ref="D51" authorId="0" shapeId="0">
      <text>
        <t xml:space="preserve">guang:
3/16 M4*1 OK(409)
3/22 M4*1 OK(409)
4/26 M4*3 OK(409)
5/25 M4*2 OK(813)
4/18 M4*3 OK(408)
4/19 M4*1 OK(408)
long:
6/23 M4*1 OK(408)
6/25 M4*2 OK(408)
6/29 M4*1 OK(410)
6/30 M4*1 OK(410)
3/29 M4*1 OK(409)
4/1 M4*2 OK(409)
5/9 M4*1 OK(409)
6/12 M4*1 OK(409)
11/29 M4*1 OK(409)
12/2 M4*1 OK(409)
5/18 M4*1 OK(523)
6/19 M4*1 OK(409)
21/3/20 M4*1 OK(409)
3/22 M4*1 OK(409)
6/22 M4*1 OK(409)
7/2 M4*1 OK(409)
7/20 M4*1 OK(409)
9/1 M4*1 OK(813-1518)
9/29 M4*1 OK(813-1305)
11/3 M4*1 OK(408-1765)
11/23 M4*1 OK(408-1915)
11/23 M4*1 OK(408-1957)
12/15 M4*1 OK(813-2042)
12/16 M4*1 OK(813-2042)
22/1/4 M4*1 OK(17M-2042)
1/19 M4*1 OK(17M-2084)
2/8 M4*1 OK(813-2242)
6/27 M4*1 OK(410-2414)
</t>
      </text>
    </comment>
    <comment ref="E51" authorId="2" shapeId="0">
      <text>
        <t xml:space="preserve">guang:
3/21 M3*1 OK(409)
3/22 出1台(轉台典研)
3/23 M3*1 OK(409)
3/28 出1台(轉台典研)
4/26 M3*1 OK(409)
4/28 出1台(台典研磨)
5/8 M3*1 OK(409)
5/10 M3*1OK(409)
5/17 出1台(轉隆升研磨)
5/31 M3*1OK(813)
6/02 M3*1OK(813)
ralf:
實際庫存2 6/6 盤點
guang:
6/06 M3*1OK(813)
6/6 出1台(台典研磨)
6/12 出1台(台典研磨)
6/13 出1台(台典研磨)
guang:
6/27 出1台(6路)
4/27 M3*1OK(523)
5/2 M3*1OK(523)
5/4 M3*1OK(523)
5/4 出1台(台典研磨)
5/7 出1台(台典研磨)
5/8 M3*1OK(523)
5/10 出1台(台典研磨)
5/14 出1台(台典研磨)
7/3 M3*1OK(523)
7/5 M3*1OK(523)
7/9 M3*1OK(523)
8/3 出1台(台典研-HA18070301)
8/14 出1台(台典研-HA18070501)
8/31 出1台(台典研-HA18070901)
9/1 M3*1OK(410)
9/5 M3*1OK(410)
9/18 出1台(台典研-HA18090101)
9/21 出1台(台典研-HA18090501)
4/15 M3*1OK(523)
4/17 出1台(台典研-HA19041501)
4/22 M3*1OK(523)
5/2 M3*1OK(813)
6/13 M3*1OK(523)
6/18 M3*1OK(523)
7/9 出1台(台典研-HA19030201)
8/15 出1台(台典研-HA19042201)
11/4 出1台(台典研-HA19061801)
12/06 M3*1OK(523)
12/10 出1台(轉中熱-HA19120601)
12/13 M3*1OK(523)
12/17 出1台(轉中熱-HA19061801)
5/25 M3*1OK(523)
7/3 M3*1OK(523)
10/28 入1台(中熱-硬度不足)
21/3/26 M3*1OK(409-000400000461)(軌道通寶)
3/31 M3*1OK(409-000400000463)
6/26 M3*1OK(409-000400000461-補單)
6/28 出1台(轉中熱-HA21062601-000400000461)
7/7 M3*1OK(409-8121070017-000400001222)
7/8 出1台(轉中熱-HA21070701-000400001222)
7/12 出1台(軌道通寶-楊鋼載回-HA21032601)
7/20 M3*1OK(409-000400001305-軌道面砂孔)
7/28 出1台(轉中熱-HA21072001-000400001305)
9/6 M3*1OK(813-000400001518)
10/8 M3*1OK(409-000400001305)
11/10 M3*1OK(409-000400001765)
11/12 出1台(轉中熱-HA21111001-100001071-000400001765)
12/1 M3*1OK(409-000400001915)(中凸1.79)
12/16 M3*1OK(409-000400002042)(中凸1.6)
12/22 M3*1OK(409-000400002042)(中凸1.7)
12/28 M3*1OK(409-000400001957)(中凸1.7)
22/1/5 出1台(轉中熱-HA21122801-100001455-000400001957)
3/9 M3*1OK(409-000400002242)(中凸1.8)
3/15 M3*1OK(409-000400002084)(中凸1.73)
4/8 M3*1OK(813-000400002042)(中凸1.75)
001289:
10/25 M3*1OK(409-000400002414)(中凸1.71)
23/8/29 出1台(轉中熱-HA22102501-#2414)
8/30 回1台(中熱-HA22102501-#2414)
24/2/21 出1台(轉中熱-HA22030301-#2242)
</t>
      </text>
    </comment>
    <comment ref="F51" authorId="0" shapeId="0">
      <text>
        <t xml:space="preserve">guang:
5/22 研*1 OK
5/22 出1台(本廠-HA19121301-機號:28102)
7/22 研*1 OK
10/27 出1台(三廠-HA20052501-機號:27366)
10/30 研*1 OK
11/2 出1台(本廠-HA20070301-機號:28135)
11/2 研*1 OK
11/10 出1台(本廠-HA19050201-機號:28327)
5/19 研*1 OK
21/6/4 出1台(三廠-HA21033101-100000710-000400000463)
9/24 研*1 OK(000400001518)
9/30 出1台(三廠-HA21090601-100000950-000400001518)
10/27 研*1 OK(000400001305)1765委外熱與研
11/11 出1台(三廠-HA21100801-100001224-000400001305)
12/23 研*1 OK(000400001915)
12/23 出1台(三廠-HA21120101-100001174-000400001915)
22/3/11 研*1 OK(000400002042)
3/31 出1台(三廠-HA21122201-100001126-000400002042)
7/22 研*1 OK(000400002042)
8/26 研*1 OK(000400002042)
23/8/29 出1台(三廠-HA21121601-100002537-000400002042)
9/13 研*1 OK(000400002414)
9/21 出1台(本廠-HA22040801-100002517-000400002042)
10/13 出1台(本廠-HA22102501-100002489-000400002414)
24/3/7 研*1 OK(000400002242)
3/7 出1台(三廠-HA22030301-100002748-000400002242)
</t>
      </text>
    </comment>
    <comment ref="C52" authorId="0" shapeId="0">
      <text>
        <t>guang:
7/24 入1台(YJF)
8/17 入1台(YJF)
8/17 入1台(YZ)
8/27 入1台(YZ)
9/7 入1台(YZ)
2/18 入1台(YZ)
3/11 入1台(YZ)
2/6 入2台(YZ)
3/25 入2台(YJF)
21/2/2 入2台(YJF)
3/10 入1台(YZ)
3/23 入1台(YZ)
22/7/18 入1台(LD-#2924)
8/18 入1台(LD-#3053)
guang:
24/10/4 入1台(YJF-#5020)
25/7/17 入1台(LD-#5860)
11/4 入1台(LD-#5860)(交換)</t>
      </text>
    </comment>
    <comment ref="D52" authorId="0" shapeId="0">
      <text>
        <t xml:space="preserve">guang:
7/21 m4*1 ok(813)
11/20 M4*1 OK(17M)
7/11 M4*1 OK(410)
8/8 M4*1 OK(410)
8/28 M4*1 OK(17M)
8/29 M4*1 OK(17M)
9/7 M4*1 OK(813)
10/5 M4*1 OK(408)
3/13 M4*1 OK(409)
109/2/13 M4*1 OK(409)
2/14 M4*1 OK(409)
4/6 M4*1 OK(409)
4/7 M4*1 OK(409)
21/2/18 M4*1 OK(409)
2/19 M4*1 OK(409)
3/29 M4*2 OK(813)
22/7/28 M4*1 OK(409-#2924)
9/1 M4*1 OK(411-#3053)
24/10/9 M4*1 OK(17M-#5020)
25/7/22 M4*1 OK(LD-#5860)(報廢)
</t>
      </text>
    </comment>
    <comment ref="E52" authorId="2" shapeId="0">
      <text>
        <t xml:space="preserve">ralf:
熱處理區
guang:
6/9 出1台(轉台典研)(HA17030402)
7/10 出1台(轉台典研)(HA17030101)
guang:
11/7 M3*1 OK(409)
8/22 M3*1 OK(813)
8/27 M3*1 OK(813)
8/30 M3*1 OK(813)
9/4 M3*1 OK(813)
9/6 M3*1 OK(813)
9/7 出1台(轉台典研-HA18082701)
9/10 出1台(轉台典研-HA18090401)
9/11 出1台(轉台典研-HA18082202)
9/12 出2台(轉台典研-HA18083001,HA18090601)
10/8 M3*1 OK(523)
10/12 M3*1 OK(523)
2/12 出1台(轉台典研-HA18101201)
2/14 出1台(轉台典研-HA18100801)
319 M3*1 OK(523)
3/26 出1台(轉台典研-HA19031901)
5/8 M3*1 OK(409)
3/3 M3*1 OK(409)
3/19 M3*1 OK(409)
4/23 M3*1 OK(409)
5/14 M3*1 OK(523)
21/2/24 M3*1 OK(409)
guang:
21/2/24 M3*1 OK(409)(HA21022401-H08000395)
4/9 M3*1 OK(409-000400000177)
22/1/4 M3*1 OK(409-000400000177)
1/7 M3*1 OK(409-H08000394)
8/3 M3*1 OK(409-000400002924)
9/15 M3*1 OK(409-000400003053)
24/11/11 M3*1 OK(409-#5020)中凸1.33
</t>
      </text>
    </comment>
    <comment ref="F52" authorId="2" shapeId="0">
      <text>
        <t xml:space="preserve">ralf:
3/6 隆升入1
3/9 出1台(三廠)
ralf:
5/31出1台(三廠)
8/14 出1台(三廠)
12/26 研磨*1 OK
12/27 出1台(三廠-HA19050801)
3/17 研磨*1 OK
3/19 出1台(三廠-HA20030301)
5/6 研磨*1 OK
5/6 出1台(本廠-HA20031901)
9/3 研磨*1 OK
9/9 研磨*1 OK
21/7/16 研磨*1 OK-395
21/8/3 出1台(三廠-HA20051401-10000944-000400000404)
8/24 出1台(三廠-HA21022401-10000946-H080000395)
10/4 研磨*1 OK-000400000442
10/15 出1台(三廠-HA20042301-100001070-000400000442)
12/10 研磨*1 OK-000400000177
12/10 出1台(三廠-HA21040901-100001306-000400000177)
22/1/13 研磨*1 OK-000400000177
6/21 出1台(三廠-HA22010401-100001837-000400000177)
6/28 研磨*1 OK-H08000394
7/18 出1台(三廠-HA22010701-100001789-H08000394)
001289:
11/15 研磨*1 OK-000400003053
11/15 出1台(三廠-HA22091501-100002062-000400003053)
12/20 研磨*1 OK-000400002924
23/10/25 出1台(三廠-HA22080301-100002603-000400002924)
guang:
25/4/2 研磨*1 OK-000400005020
25/6/6 出1台(三廠-HA24111001-100003297-000400005020)
</t>
      </text>
    </comment>
    <comment ref="J52" authorId="3" shapeId="0">
      <text>
        <t>hsinwei:
25/7/22 M4*1 OK(LD-#5860)(報廢)
11/4 入#5860(交換)</t>
      </text>
    </comment>
    <comment ref="C53" authorId="0" shapeId="0">
      <text>
        <t xml:space="preserve">guang:
1/8 入1台(YJF)
</t>
      </text>
    </comment>
    <comment ref="D53" authorId="0" shapeId="0">
      <text>
        <t xml:space="preserve">guang:
2/1 M4*1 OK(409)
</t>
      </text>
    </comment>
    <comment ref="E53" authorId="2" shapeId="0">
      <text>
        <t xml:space="preserve">ralf:
11/30 1台送台典guang:
6/20 出1台(轉台典研)
guang:
2/8 M3*1 OK(409)
2/13 出1台(轉台典研)
</t>
      </text>
    </comment>
    <comment ref="F53" authorId="0" shapeId="0">
      <text>
        <t xml:space="preserve">guang:
此台隆升入料(籃色)
25/5/7 出1台(三廠-HA18061101-100003284-000400005735)
</t>
      </text>
    </comment>
    <comment ref="H53" authorId="2" shapeId="0">
      <text>
        <t>ralf:
共兩台.,1台在隆升待磨</t>
      </text>
    </comment>
    <comment ref="C54" authorId="0" shapeId="0">
      <text>
        <t xml:space="preserve">guang:
1/17 入1台(YK)
ralf:4/17入2(YK)
guang:
7/10 入1台(YK)
7/19 入1台(YK)
4/18 入1台(YK)
4/25 入1台(YK)(換)
5/15 入1台(YK)(台典換)
21/5/3 入1台(YK)
</t>
      </text>
    </comment>
    <comment ref="D54" authorId="2" shapeId="0">
      <text>
        <t xml:space="preserve">ralf:
4/25 M4*1OK(523)
7/20 M4*1OK(813)
7/26 M4*1OK(813)
4/18 M4*1OK(813)
4/23 退回YK處理(退) 
7/5 M4*2 OK(17M)
8/8 YK處理後送回
21/5/4 M4*1OK(813)
5/7 YK處理後送回(中凹過多)
5/14入1台(壓完入廠，中凹13mm)
</t>
      </text>
    </comment>
    <comment ref="E54" authorId="2" shapeId="0">
      <text>
        <t xml:space="preserve">ralf:
5/2 M3*1 OK(813)
5/5 M3*1 OK(813)
5/4 出1台(轉台典)
5/10 入1台(台典研磨好入)
5/10 出1台(轉台典)
5/11出1台(6路)
guang:
7/25 M3*1 OK(813)
7/28 出1台(轉台典)(HA17072501)
3/19 M3*1 OK(523)
3/21 出1台(轉台典)(HA18031902)
guang:
7/12 M3*1 OK(813)(下軌砂孔)
7/16 M3*1 OK(813)
7/19 出1台(轉台典)(HA18071602)
8/14 M3*1 OK(523)(退回處理那台)
8/16 出1台(轉台典)(HA18081401)
21/5/19 M3*1 OK(813-砂孔處理)
5/25 出1台(轉台典-000400000808)
5/31 入1台(台典)
6/2 出1台(三廠-HA21051901-100000560-000400000808)
</t>
      </text>
    </comment>
    <comment ref="F54" authorId="0" shapeId="0">
      <text>
        <t xml:space="preserve">guang:
1/13 入1台(興隆興)
2/11 研磨*1 OK
guang:
4/1 出1台(6路-HA18071201)
</t>
      </text>
    </comment>
    <comment ref="C55" authorId="0" shapeId="0">
      <text>
        <t>guang:
2/7入1台(YZ)
2/13入1(YZ)
3/13入1(YJF)
9/22入1(YJF)
10/27 入1台(YZ)
12/12 入1台(YJF)
1/10 入1台(YJF)
4/12 入2台(YJF)
7/4 入1台(YJF)
7/13 入1台(YJF)
7/19 入1台(YJF)
1/10 入2台(YZ)
5/22 入1台(YZ)
6/1 入1台(YZ)
6/4 入1台(YJF)
6/9 出1台(YJF-扭曲13mm)
10/26 入1台(YJF-扭曲13mm-載回重壓)
12/1 入1台(YZ)
21/1/6 入1台(YZ)
1/27 入1台(YZ)
2/1 入1台(YJF)
2/8 入1台(YJF)
2/22 入1台(YZ)
7/23 入1台(YZ)
8/10 入1台(YJF)
21/10/29 入1台(YJF)
11/16 入1台(YZ)
12/7 入1台(YZ-#2011)
22/4/26 入1台(YJF-#2649)
24/3/13 入1台(YJF-#4397)
4/29 入1台(YJF-#4512)
7/16 入1台(YJF-#4787)
7/26 入1台(LD-#4746)
8/21 入1台(YJF-#4862)
9/5 入1台(YJF-#4945)
9/25 入1台(YJF-#4945)
11/5 入1台(YJF-#5130)
11/25 入1台(YJF-#5130)
11/28 入1台(YJF-#5224)
26/1/6 入1台(YJF-#6135)</t>
      </text>
    </comment>
    <comment ref="D55" authorId="0" shapeId="0">
      <text>
        <t>guang:
3/14 M4*1 OK(813)
11/7 M4*1 OK(17M)
11/8 M4*1 OK(17M)
1/8 M4*1 OK(813)
1/31 M4*1 OK(17M)
4/13 M4*2 OK(813)
9/19 M4*1 OK(523)
9/20 M4*2 OK(523)
2/13 M4*1 OK(523)
2/14 M4*1 OK(523)
6/5 M4*2 OK(813)
11/3 M4*2 OK(813)
12/15 M4*1 OK(813)
21/1/18 M4*1 OK(813)
2/1 M4*1 OK(813)
2/17 M4*1 OK(813)
2/18 M4*1 OK(813)
3/8 M4*1 OK(813)
8/11 M4*1 OK(17M-1435)
8/11 M4*1 OK(17M-1316)
11/3 M4*1 OK(17M-1844)
11/26 M4*1 OK(17M-1946)
22/1/4 M4*1 OK(17M-2011)
5/19 M4*1 OK(813-#2649)
24/3/15 M4*1 OK(17M-#3497)
6/20 M4*1 OK(17M-#4512)
7/20 M4*1 OK(17M-#4787)
7/29 M4*1 OK(17M-#4746)
8/27 M4*1 OK(17M-#4862)
9/7 M4*1 OK(813-#4945)
9/27 M4*1 OK(17M-#4945)
11/8 M4*1 OK(813-#5130)
11/27 M4*1 OK(813-#5130)
25/2/4 M4*1 OK(17M-#5224)
26/1/8 M4*1 OK(17M-#6135)</t>
      </text>
    </comment>
    <comment ref="E55" authorId="0" shapeId="0">
      <text>
        <t>guang:
3/7 出1台(轉台典研磨)
3/9 出1台(轉台典研磨)
3/16 M3*1 OK(813)  
3/22 出1台(轉隆升)
11/30 M3*1 OK(813)
12/7 M3*1 OK(813)
1/9 出1台(轉隆升研)
1/25 M3*1 OK(813)(YJF)
1/29 出1台(轉台典研)
2/7 M3*1 OK(813)(YJF)
2/9 出1台(轉台典研)
4/23 M3*1 OK(813)(YJF)
4/26 M3*1 OK(813)(YJF)
9/26 M3*1 OK(523)(YJF)
10/1 M3*1 OK(523)(YJF)-X軸座標系錯誤
10/3 M3*1 OK(523)(YJF)
guang:
8/1 出1台(HA18042302-轉台典研)
8/5 出1台(HA18100302-轉台典研)
2/25 M3*1 OK(523)(YZ)
3/6 M3*1 OK(523)(YZ)
6/8 M3*1 OK(523)(YZ)
6/15 M3*1 OK(523)(YZ)
11/11 M3*1 OK(813)(YJF)(2.12凸)
1/4 M3*1 OK(813)(YZ)(2.46凸)
2/9 M3*1 OK(813)(YZ)(2.37凸)
3/4 M3*1 OK(813)(YZ)(2.33凸)
3/18 M3*1 OK(813)(YZ-000400000189)(2.33凸)
4/29 M3*1 OK(813)(YJF-H08000386)(2.1凸)
7/23 M3*1 OK(813)(YJF-000400000294)(2.2凸)
9/13 M3*1 OK(813)(YJF-000400001435)(2.1凸)
9/17 M3*1 OK(813)(YZ-000400001316)(2.35凸)
9/22 出1台(轉中熱-HA21091701-100000958-000400001316)
9/23 出1台(轉中熱-HA21091301-100001112-000400001435)
12/2 M3*1 OK(813)(YJF-000400001844)(2.1凸)正面砂孔-NG-補救
12/9 M3*1 OK(813)(LD-000400001946)(2.3凸)
22/1/13 M3*1 OK(813)(LD-000400002011)(2.3凸)
5/24 M3*1 OK(813)(YJF-000400002649)(1.75凸)
23/10/19 出1台(轉中熱-HA22052401-100002583-000400002649)
10/23 入1台(中熱-HA22052401-100002583-000400002649)
guang:
24/3/22 M3*1 OK(813)(YJF-000400004397)(2.25凸)
3/26 出1台(轉中熱-HA24032201-100002711-000400004397)
3/28 回1台(中熱OK-HA24032201-100002711-000400004397)
guang:
7/2 M3*1 OK(813)(YJF-000400004512)(2.15凸)
7/4 出1台(轉中熱-HA24070201-100002849-000400004512)
7/6 入1台(三廠-HA24070201-100002849-000400004512)
7/29 M3*1 OK(813)(YJF-000400004787)(2.18凸)
7/30 出1台(轉中熱-HA24072901-000400004787)
8/1 回1台(研磨-HA24072901-000400004787)
8/6 M3*1 OK(813)(LD-000400004746)(2.57凸)
8/7 出1台(轉中熱-HA24080601-000400004746)
8/9 回1台(研磨-HA24080601-000400004746)
9/4 M3*1 OK(813-#4862)
9/6 出1台(轉中熱-HA24090401-000400004862)
9/9  回1台(研磨-HA24090401-000400004862)
9/13 M3*1 OK(813-#4945)
9/18 出1台(轉中熱-HA24091301-000400004945)
9/20 回1台(研磨-HA24091301-000400004945)
10/7 M3*1 OK(813-#4945)
10/9 出1台(轉中熱-HA24100701-000400004945)
10/12 回1台(研磨-HA24100701-000400004945)
guang:
25/2/11 M3*1 OK(813-#5130)
2/17 出1台(轉中熱-HA25021101-000400005130)
2/18 回1台(研磨-HA25021101-000400005130)
7/9 M3*1 OK(813-#5130)
11/26 出1台(轉中熱-HA25070901-000400005130)
11/27 回1台(轉中熱-HA25070901-000400005130)
11/27 M3*1 OK(813-#5224)
12/17 出1台(轉中熱-HA25112701-000400005224)
12/18 回1台(轉中熱-HA25112701-000400005224)</t>
      </text>
    </comment>
    <comment ref="F55" authorId="0" shapeId="0">
      <text>
        <t>guang:
1/17 出1台(三廠)
guang:
11/7 研磨OK*1
11/7 出1台(三廠-HA18100101)
12/4 研磨OK*1
12/6 出1台(三廠-HA18042602)
12/17 研磨OK*1
3/9 出1台(三廠-HA18092601)
3/11 出1台(三廠-HA18100302-台典研)
3/24 研磨OK*1
3/24 出1台(三廠-HA20022501)
5/14 研磨OK*1
5/14 出1台(三廠-HA20030601-機號:28086)
7/30 研磨OK*1
7/31 出1台(三廠-HA20060801-機號:28218)
8/11 研磨OK*1
10/16 出1台(三廠-HA20061601-機號:27843)
12/23 研磨OK*1
2/20 出1台(三廠-HA20111101-工號:100000389)
3/3 研磨OK*1
3/8 出1台(三廠-HA21010401-工號:100000342)
21/4/15 研磨OK*1-000400000119
4/21 出1台(三廠-HA21030401-100000585-000400000119)
5/6 研磨OK*1
5/11 出1台(三廠-HA21020901-100000586)
6/3 研磨OK*1(000400000189)
6/25 出1台(三廠-HA21031801-100000713-000400000189)
6/30 研磨OK*1(H08000386)
7/14 出1台(三廠-HA21042901-100000714-H08000386)
8/20 研磨OK*1(000400000294)
9/8 出1台(三廠-HA21072301-100000947-000400000294)
12/30 研磨OK*1(000400001946)
22/1/4 出1台(三廠-HA21120901-100001111-000400001946)
2/16 研磨OK*1(000400001844)
2/22 出1台(三廠-HA21120201-100001539-000400001844)
4/18 研磨OK*1(000400002011)
8/30 出1台(三廠-HA22011301-100001993-000400002011)
23/11/14 研磨OK*1(000400002649)
11/21 出1台(三廠-HA22052401-100002583-000400002649)
24/4/11 研磨OK*1(000400004397)
4/15 出1台(三廠-HA24032201-100002711-000400004397)
7/18 研磨OK*1(000400004512)
7/19 出1台(本廠-HA24070201-100002849-000400004512)
8/12 研磨OK*1(000400004787)
8/13 出1台(三廠-HA24072901-100002863-000400004787)
8/27 研磨OK*1(000400004746)
8/28 出1台(三廠-HA24080601-100002864-000400004746)
9/18 研磨OK*1(000400004862)
9/20 出1台(三廠-HA24090401-100002911-000400004862)
10/4 研磨OK*1(000400004945)
10/23 出1台(三廠-HA24091301-100002964-000400004945)
11/11 研磨OK*1(000400004945)
11/15 出1台(三廠-HA24100701-100002955-000400004945)
25/3/6 研磨OK*1(000400005130)
3/7 出1台(三廠-HA25021101-100003103-000400005130)
12/17 研磨OK*1(000400005130)
12/18 出1台(三廠-HA25070901-100003459-000400005130)</t>
      </text>
    </comment>
    <comment ref="C56" authorId="0" shapeId="0">
      <text>
        <t>guang:
1/4入1台YZ
1/9轉傑晃加工
1/9入1PS-YZ
1/13轉傑晃加工
5/22入1台YZ
5/23轉傑晃加工</t>
      </text>
    </comment>
    <comment ref="C57" authorId="0" shapeId="0">
      <text>
        <t xml:space="preserve">guang:
2/22 入1台(YZ)
11/10 入1台(YZ)
1/29 入1台(YZ)
3/6 入1台(YZ)
9/28 入1台(YJF)
10/23 入1台(YZ)
12/19 入1台(YJF)
21/1/12 入1台(YZ)
8/17 入1台(YZ)
11/9 入1台(YZ-#2192)
22/1/26 入1台(YJF-1843)
guang:
</t>
      </text>
    </comment>
    <comment ref="D57" authorId="0" shapeId="0">
      <text>
        <t xml:space="preserve">guang:
2/23 M4 OK
3/10 M4*1 OK(523)
10/4 M4*1 OK(17M)
10/25 M4*1 OK(523)
10/26 M4*1 OK(523)
12/22 M4*1 OK(17M)
21/1/25 M4*1 OK(813)
10/22 M4*1 OK(813-1465)
22/1/5 M4*1 OK(17M-#1843)
2/19 M4*1 OK(813-#2192)
</t>
      </text>
    </comment>
    <comment ref="E57" authorId="2" shapeId="0">
      <text>
        <t xml:space="preserve">guang:
6/2 出1台(台典研磨)(HA17052402)
11/27 M3*1 OK(813)
11/29 出1台(台典研磨)(HA17112701)
3/9 M3*1 OK(523)
3/13 出1台(台典研磨)(HA18030902)
3/15 M3*1 OK(523)
3/17 出1台(台典研磨)(HA18031501)
10/11 M3*1 OK(813)
11/6 出1台(台典研磨)(HA18101101)
11/13 M3*1 OK(523)(YJF)
11/20 M3*1 OK(523)(YZ)
11/22 出1台(台典研磨)(HA18111301-YJF)
5/8 M3*1 OK(813)(YJF)
21/6/24 M3*1 OK(813)(YZ-中凸2.3)
7/8 出1台(中熱-HA21062401-YZ100000877--000400000080)
11/3 M3*1 OK(813)(YZ-中凸2.3-000400001465)
22/1/18 出1台(中熱-HA21110301-LD100001377-000400001465)
2/19 M3*1 OK(813-#1843)(YJF-中凸1.9)
6/6 M3*1 OK(813-#2192)(YJF-中凸1.82)
10/16 出1台(中熱-HA22021901-100002589-000400001843)
</t>
      </text>
    </comment>
    <comment ref="F57" authorId="0" shapeId="0">
      <text>
        <t>guang:
2/8 入1台
3/27 出1台(三廠)
6/22 研 OK*1
6/24 出1台(三廠-HA19050801)
7/8 研 OK*1
21/10/18 出1台(三廠-HA18112001-100000870-000400001823)
23/10/31 研 OK*1(#1843)
11/8 出1台(三廠-HA22021901-100002589-000400001843)</t>
      </text>
    </comment>
    <comment ref="H57" authorId="2" shapeId="0">
      <text>
        <t>ralf:
共3台,一台在隆升待磨</t>
      </text>
    </comment>
    <comment ref="C58" authorId="0" shapeId="0">
      <text>
        <t xml:space="preserve">guang:
3/16 入1台(YZ)
6/12 入1台(YZ)
1/4 入1台(YZ)
10/30 入1台(YZ)
2/22 入1台(YZ)
21/7/9 入1台(YZ)
</t>
      </text>
    </comment>
    <comment ref="D58" authorId="0" shapeId="0">
      <text>
        <t xml:space="preserve">guang:
6/15 M4*1 OK(813)
1/15 M4*1 OK(17M)
11/5 M4*1 OK(17M)
3/4 M4*1 OK(17M)
21/7/12 M4*1 OK(813)
</t>
      </text>
    </comment>
    <comment ref="E58" authorId="0" shapeId="0">
      <text>
        <t xml:space="preserve">guang:
3/22 M3*1 OK(813)
3/24 出台典研磨
6/22 M3*1 OK(813)
6/27出1台(轉台典研)
1/20 M3*1 OK(813)
1/24出1台(轉台典研)
(HA18011201)
11/20 M3*1 OK(813)
11/23出1台(轉台典研)
(HA18112002)
3/11 M3*1 OK(813)
3/14出1台(轉台典研-HA19031101)
21/7/19 M3*1 OK(813-1250-中凸3.0)
7/20 出1台(HA21071901-100000733-000400001250-轉中熱)
</t>
      </text>
    </comment>
    <comment ref="C59" authorId="0" shapeId="0">
      <text>
        <t xml:space="preserve">guang:
7/27 入1台(YZ)
9/19 入1台(YZ)
6/4 入1台(YZ)
</t>
      </text>
    </comment>
    <comment ref="D59" authorId="0" shapeId="0">
      <text>
        <t xml:space="preserve">guang:
8/8 M4*1 OK (813)
11/7 M4*1 OK (17M)
10/4 M4*1 OK (813)
</t>
      </text>
    </comment>
    <comment ref="E59" authorId="0" shapeId="0">
      <text>
        <t xml:space="preserve">guang:
8/22 M3*1 OK(813)
9/7 出1台(轉隆升研)
1/16 M3*1 OK(813)
1/19 出1台(轉台典研)
  (HA18011602)
10/16 M3*1 OK(813)
11/8 出1台(轉台典研)
  (HA18101601)
</t>
      </text>
    </comment>
    <comment ref="J60" authorId="0" shapeId="0">
      <text>
        <t xml:space="preserve">guang:
11/2 M4*1 腳底缺料*(報廢-1198)-SY
guang:
guang:
22/5/10 出1台(新縊載走-#1198)
</t>
      </text>
    </comment>
    <comment ref="C61" authorId="3" shapeId="0">
      <text>
        <t xml:space="preserve">hsinwei:
25/07/30入2台((SY-#5895)
09/04入1台(SY-#5940)
12/8入5台(SY-#6053)
</t>
      </text>
    </comment>
    <comment ref="D61" authorId="3" shapeId="0">
      <text>
        <t>hsinwei:
25/8/27 M4*2 OK(DBC2-#5895)
9/5 M4*1 OK(DBC2-#5940)
12/16~29 M4*5 OK(DBC2-#6053)-8223</t>
      </text>
    </comment>
    <comment ref="E61" authorId="3" shapeId="0">
      <text>
        <t>hsinwei:
25/9/10 M3*1 OK(3260-#5895)
9/11 M3*1 OK(3260-#5895)
9/12 M3*1 OK(3260-#5940)
guang:
9/13出研(#5895*2，#5940*1)
12/31~1/9 M3*5 OK(DBC-2-#6053)-3228</t>
      </text>
    </comment>
    <comment ref="F61" authorId="3" shapeId="0">
      <text>
        <t xml:space="preserve">hsinwei:
25/9/18 研*1 OK(#5895)
</t>
      </text>
    </comment>
    <comment ref="C62" authorId="0" shapeId="0">
      <text>
        <t xml:space="preserve">guang:
22/12/8 入1台(LD-#3261)
12/14 入1台(LD-#3261)
guang:
23/2/21 入2台(LD-#3407)
3/13 入3台(LD-#3429)
4/18 入4台(LD-#3483)
4/28 入3台(LD-#3506)
5/15 入4台(LD-#3550)
5/17 入1台(LD-#3550)
5/31 入1台(LD-#3550)
6/12 入3台(LD-#3606)
6/19 入2台(LD-#3634)
7/6 入5台(LD-#3698)
8/15 入2台(LD-#3763)
9/6 入3台(LD-#3821)
9/20 入2台(LD-#3873)
10/4 入2台(LD-#3896)
10/12 入4台(LD-#3896)
10/25 入2台(LD-#3966)
</t>
      </text>
    </comment>
    <comment ref="D62" authorId="0" shapeId="0">
      <text>
        <t xml:space="preserve">guang:
22/12/16 M4*2(410-#3261)
23/2/24 M4*2(813-#3407)
3/17 M4*1(17M-#3429)
3/20 M4*1(17M-#3429)
3/22 M4*1(17M-#3429)
4/19 M4*1(17M-#3483)
4/20 M4*2(17M-#3483)
4/21 M4*1(17M-#3483)
5/2 M4*1(410-#3506)
5/3 M4*2(410-#3506)
5/15 M4*1(410-#3550)
5/16 M4*2(410-#3550)
5/17 M4*1(17M-#3550)
5/30 M4*1(410-#3550)
6/14 M4*2(17M-#3606)
6/15 M4*1(17M-#3606)
6/23 M4*1(17M-#3634)
6/25 M4*1(17M-#3634)
7/10 M4*1(410-#3698)
7/11 M4*2(410-#3698)
7/12 M4*2(410-#3698)
8/16 M4*2(410-#3763)
9/14 M4*2(813-#3821)
9/15 M4*1(813-#3821)
9/21 M4*1(17M-#3873)
9/22 M4*1(17M-#3873)
10/4 M4*1(17M-#3896)
10/6 M4*1(17M-#3896)
10/12 M4*1(409-#3896)
10/13 M4*1(409-#3896)
10/19 M4*1(17M-#3896)
10/23 M4*1(17M-#3896)
11/24 M4*2(409-#3966)
</t>
      </text>
    </comment>
    <comment ref="E62" authorId="0" shapeId="0">
      <text>
        <t xml:space="preserve">guang:
22/12/21 M3*1(410-#3261)
12/22 M3*1(410-#3261)
guang:
23/1/5 出2台(研磨)
23/3/2 M3*1(409-#3407)
3/7 M3*1(409-#3407)
3/17 出2台(研磨-#3407*2)
3/24 M3*1(17M-#3429)
3/28 M3*1(17M-#3429)
3/29 出1台(元榮-#3429*1)
3/30 出1台(元榮-#3429*1)
3/31 出1台(元榮-#3429*1)
4/21 M3*1(409-#3483)
4/25 M3*1(410-#3483)
4/25 M3*1(17M-#3483)
4/26 M3*1(410-#3483)
5/5 M3*1(410-#3506)
5/8 M3*1(410-#3506)
5/10 M3*1(410-#3506)
5/12 出研磨(#3506)
guang:
5/18 M3*1(410-#3550)
5/19 M3*1(410-#3550)
5/19 M3*1(17M-#3550)
5/23 M3*1(17M-#3550)
5/24 出研磨*3(#3550)
5/31 出研磨*2(#3550)
6/19 M3*1(17M-#3550)
6/20 M3*1(17M-#3606)
6/21 M3*1(17M-#3606)
6/28 出研磨*1(#3550)
6/28 出研磨*2(#3606)
7/3 M3*1(17M-#3606)
7/4 M3*1(17M-#3634)
7/5 出研磨*1(#3606)
7/6 M3*1(17M-#3634)
7/11 出研磨*2(#3634)
7/14 M3*1(410-#3698)
7/17 M3*1(410-#3698)
7/19 M3*1(410-#3698)
7/19 出研磨*2(#3698)
7/20 M3*1(410-#3698)
7/24 M3*1(410-#3698)
7/27 出研磨*3(#3698)
8/18 M3*1(410-#3763)
8/22 M3*1(410-#3763)
8/28 出研磨*2(#3763)
9/18 M3*1(813-#3821)
9/20 M3*1(813-#3821)
9/21 M3*1(813-#3821)
9/26 出研磨*3(#3821)
10/2 M3*1(17M-#3873)
10/4 M3*1(17M-#3873)
10/12 M3*1(17M-#3896)
10/6 出研磨*2(#3873)
10/13 M3*1(17M-#3896)
10/17 M3*1(17M-#3896)
10/19 M3*1(17M-#3896)
10/25 M3*1(17M-#3896)
10/26 M3*1(17M-#3896)
10/30 出研磨*5(#3896)
11/15 出研磨*1(#3896)
11/29 M3*1(409-#3966)
12/1 M3*1(409-#3966)
12/18 出研磨*2(#3966)
guang:
</t>
      </text>
    </comment>
    <comment ref="F62" authorId="0" shapeId="0">
      <text>
        <t xml:space="preserve">guang:
4/27 出4台(研磨_#3483)
</t>
      </text>
    </comment>
    <comment ref="C63" authorId="2" shapeId="0">
      <text>
        <t>ralf:
408旁*1guang:
4/7 出1台(轉加工一課加工)
guang:
3/2 入4台(新鎰)
3/25 入3台(新鎰)
4/24 入3台(新鎰)
guang:
5/22 出6台(送本廠加工)
guang:
21/4/1 入6台(新溢-512)
4/9 入3台(新溢-565)
4/12 入6台(新溢-583)
4/19 入6台(新溢-621)
4/21 入3台(新溢-666)
4/26 入6台(新溢)
4/29 入4台(新溢)
9/3 入5台(YZ)
9/7 入4台(YZ)
9/10 入5台(6路載來)
9/12 入5台(6路載來)
22/3/4 入4台(CFC-#2392)
3/18 入1台(CFC-#2470)
4/8 入4台(YZ-#2592)
4/12 入6台(SY-#2618)
4/21 入3台(YZ-#2589)
5/4 入3台(YZ-#2729)
5/6 入4台(YZ-#2729)--8
5/10 入3台(SY-#2748)
5/10 入1台(SY-#1198換)
5/16 入1台(LD-#2729)
9/30 入1台(SY-#3164)
23/9/20 入4台(SY-#3830)
25/8/11 入3台(SY-#5893)
8/11 入4台(SY-#6022)</t>
      </text>
    </comment>
    <comment ref="D63" authorId="0" shapeId="0">
      <text>
        <t>guang:
3/5 M4*4 OK(410)
21/4/6 M4*2 OK(410)
4/7 M4*2 OK(410)
4/8 M4*2 OK(410)
4/9 M4*1 OK(813)
4/12 M4*7 OK(813)
4/13 M4*1 OK(813)
4/20 M4*2 OK(409)
4/21 M4*4 OK(409)
4/22 M4*3 OK(409)
4/29 M4*2 OK(408)
4/29 M4*4 OK(17M)
4/30 M4*2 OK(17M)
5/5 M4*2 OK(813)
9/3  M4*1 OK(410)
9/4  M4*2 OK(410)
9/6  M4*2 OK(410)
9/13~15  M4*4 OK(410-1602)
9/15~16  M4*3 OK(410-1568)
10/27~29  M4*2 OK(410-1568)
10/29~11/3  M4*4 OK(410-1198)
11/2 M4*1 腳底缺料*(報廢-1198)
22/4/7~4/8  M4*4 OK(410-#2392)
4/8 M4*1 OK(410-#2470)
4/13 M4*1 OK(17M-#2618)
4/14 M4*3 OK(17M-#2618)
4/15 M4*2 OK(17M-#2618)
4/16 M4*1 OK(17M-#2592)
4/18 M4*3 OK(17M-#2592)
5/19~21 M4*8 OK(17M-#2729)
5/23 M4*3 OK(17M-#2589)
5/24~5 M4*3 OK(17M-#2748)
5/25 M4*3 OK(17M-#1198)
001289:
10/19 M4*2 OK(410-#3164)
23/10/11 M4*2 OK(410-#3830)
10/12 M4*2 OK(410-#3830)
25/8/14~18 M4*3 OK(409-#5893)
12/17~22 M4*4 OK(409-#6022)</t>
      </text>
    </comment>
    <comment ref="E63" authorId="2" shapeId="0">
      <text>
        <t>ralf:
不良品 12523後面guang:
4/7 出1台(轉加工一課加工)
guang:
3/12 M3*1 OK(410)
3/16 M3*1 OK(410)
3/17 M3*1 OK(410)
3/19 M3*1 OK(410)
3/23 出研磨*2
3/25 出研磨*2
6/3 出研磨*3
21/4/9 M3*1 OK(410-512)
4/12 M3*1 OK(410-512)
4/13 M3*2 OK(410-512)
4/14 M3*1 OK(410-512)
4/15 M3*1 OK(410-512)
4/16 M3*1 OK(813-583)
4/16 M3*2 OK(410-565)
4/17 M3*1 OK(813-583)
4/19 M3*1 OK(410-565)
4/20 M3*2 OK(410-583)
4/21 M3*1 OK(410-583)
4/22 M3*1 OK(410-583)
4/23 M3*1 OK(410-621)
4/24 M3*1 OK(410-621)
4/26 M3*1 OK(410-621)
4/27 M3*2 OK(410-621)
4/28 M3*1 OK(410-621)
4/29 M3*1 OK(410-666)
4/30 M3*2 OK(410-666)
5/3 M3*1 OK(410-689)
5/4 M3*1 OK(410-689)
5/5 M3*1 OK(410-689)
5/13 M3*1 OK(813-689)
5/14 M3*1 OK(813-689)
6/3 M3*1 OK(409-689)
6/5 M3*1 OK(409-717)
6/7 M3*1 OK(409-717)
6/8 M3*1 OK(409-717)
6/9 M3*1 OK(409-717)
9/7 M3*1 OK(410-1579)
9/8 M3*1 OK(410-1579)
9/9 M3*1 OK(410-1579)
9/10 M3*1 OK(410-1579)
9/13 M3*1 OK(410-1579)
9/17 M3*1 OK(410-1602)
9/18 M3*1 OK(410-1602)
9/20 M3*1 OK(410-1602)
9/22 M3*1 OK(410-1602)
9/23 M3*1 OK(410-1568)
9/24 M3*1 OK(410-1568)
9/25 M3*1 OK(410-1568)
11/4 M3*1 OK(410-1568)
11/5 M3*1 OK(410-1568)
11/9 M3*1 OK(410-1198)
11/10 M3*1 OK(410-1198)
11/11 M3*1 OK(410-1198)
11/12 M3*1 OK(410-1198)
22/4/11 M3*1 OK(410-#2392)
4/12 M3*1 OK(410-#2392)
4/13 M3*1 OK(410-#2392)
4/14 M3*1 OK(410-#2392)
4/15 M3*1 OK(410-#2470)
4/16 M3*1 OK(410-#2618)
4/18 M3*1 OK(410-#2618)
4/19 M3*1 OK(410-#2618)
4/20 M3*1 OK(410-#2618)
4/21 M3*1 OK(410-#2618)
4/22 M3*1 OK(410-#2618)
4/23 M3*1 OK(410-#2592)
4/25 M3*1 OK(410-#2592)
4/26 M3*1 OK(410-#2592)
4/27 M3*1 OK(410-#2592)
guang:
4/~5/  出13台
5/11 出2台
5/25 M3*1 OK(410-#2729)
5/26 M3*1 OK(410-#2729)
5/27 M3*1 OK(410-#2729)
5/30 M3*1 OK(410-#2729)
5/31 M3*1 OK(410-#2729)
6/1 M3*1 OK(410-#2729)
6/2 M3*1 OK(410-#2729)
6/3 M3*1 OK(410-#2729)
6/6 M3*1 OK(410-#2589)
6/7 M3*1 OK(410-#2589)
6/8 M3*1 OK(410-#2589)
6/9 M3*1 OK(410-#2748)
6/10 M3*1 OK(410-#2748)
6/13 M3*1 OK(410-#2748)
6/14 M3*1 OK(410-#1198)
001289:
10/21 M3*1 OK(410-#3164)
10/24 M3*1 OK(410-#3164)
24/1/12 M3*1 OK(410-#3830)
1/16 M3*1 OK(410-#3830)
1/17 M3*1 OK(410-#3830)
1/23 M3*1 OK(410-#3830)
guang:
24/1/30 出*2(研-#3830)
2/6 出*2(研-#3830)hsinwei:
25/8/21 M3*1 OK(410-#5893)
8/22 M3*1 OK(410-#5893)
8/26 M3*1 OK(410-#5893)
9/1 出*3(研-#5893)
25/12/29~26/1/6 M3*4 OK(409-#6022)</t>
      </text>
    </comment>
    <comment ref="F63" authorId="0" shapeId="0">
      <text>
        <t xml:space="preserve">4/13 研磨OK*3
4/14 出*3
4/15 研磨OK*2
4/16 出*2
4/21 研磨OK*4
4/21 出*2
4/23 出*4
4/26 出*3
出*13
guang:
21/10 出*12
001289:
22/11/17 出*2
guang:
guang:
hsinwei:
25/9/15 研*3 OK(#5893)
</t>
      </text>
    </comment>
    <comment ref="C64" authorId="3" shapeId="0">
      <text>
        <t xml:space="preserve">hsinwei:
25/08/04入3台(SY-#5842)
10/16入2台(SY-#5982)
12/3入2台(SY-#6063)
</t>
      </text>
    </comment>
    <comment ref="D64" authorId="3" shapeId="0">
      <text>
        <t>hsinwei:
25/8/25~26 M4*3 OK(DBC2-#5842)
10/20 M4*2 OK(DBC2-#5982)
12/8 M4*2 OK(8223-#6063)</t>
      </text>
    </comment>
    <comment ref="E64" authorId="3" shapeId="0">
      <text>
        <t xml:space="preserve">hsinwei:
25/9/18~19 M3*2 OK(DBC2-#5842)
10/1 M3*1 OK(DBC2-#5842)
hsinwei:
9/20出研(#5842*2)
10/28 M3*1 OK(8223-#5982)
11/5 M3*1 OK(DBC2-#5982)
11/10出研(#5982*2)
12/9 M3*1 OK(8223-#6063)
12/11 M3*1 OK(8223-#6063)
</t>
      </text>
    </comment>
    <comment ref="F64" authorId="0" shapeId="0">
      <text>
        <t>guang:
25/12/17~18 研磨OK*2-#6063
12/18 研磨OK*1-#5842</t>
      </text>
    </comment>
    <comment ref="C69" authorId="0" shapeId="0">
      <text>
        <t>guang:
23/4/6 入1台(LD-#3458)
4/28 入1台(LD-#3508)
5/31 入1台(LD-#3563)
7/17 入2台(LD-#3699)
7/24 入1台(LD-#3721)
8/10 入2台(LD-#3764)
8/21 入2台(LD-#3785)
9/7 入2台(LD-#3823)
11/8 入4台(LD-#4029)
11/28 入2台(LD-#4082)
24/1/11 入2台(LD-#4215)
1/18 入3台(LD-#4238)
4/15 入4台(LD-#4469)
4/29 入2台(LD-#4534)
5/22 入2台(LD-#4642)
6/19 入2台(LD-#4743)
6/25 入1台(LD-#4743)
6/25 入1台(LD-#4469-換)
guang:
8/6 入2台(LD-#4819) 
8/6 入1台(LD-#4857)
9/5 入1台(LD-#4857)
guang:
25/1/2 入3台(LD-#5354)
3/5 入2台(LD-#4682)
4/10 入2台(LD-#5511)
5/16 入4台(LD-#5741)
5/22 入2台(LD-#5741)
26/1/5 入2台(LD-#6012)
1/5 入1台(LD-#6138)</t>
      </text>
    </comment>
    <comment ref="D69" authorId="0" shapeId="0">
      <text>
        <t>guang:
4/12 M4*1 OK(813-#3458)
5/3 M4*1 OK(410-#3508)
guang:
6/1 M4*1 OK(410-#3563)
7/19 M4*2 OK(17M-#3699)
7/21 M4*1 OK(17M-#3721)
8/15 M4*1 OK(410-#3764)
8/16 M4*1 OK(410-#3764)
8/21 M4*1 OK(17M-#3785)
8/22 M4*1 OK(17M-#3785)
9/22 M4*2 OK(17M-#3823)
11/28 M4*1 OK(410-#4029)
11/29 M4*2 OK(410-#4029)
11/30 M4*1 OK(410-#4029)
12/4 M4*2 OK(410-#4082)
1/30 M4*2 OK(410-#4215)
1/31 M4*1 OK(410-#4238)
2/20 M4*1 OK(409-#4238)
2/21 M4*1 OK(409-#4238)
guang:
4/30 M4*2 OK(17M-#4469)
5/2 M4*2 OK(17M-#4469)
5/15 M4*1 OK(410-#4534)
5/16 M4*1 OK(410-#4534)
guang:
7/8~10 M4*3 OK(410-#4743)
7/11 M4*2 OK(410-#4642)
7/12 M4*1 OK(410-#4469)
8/20 M4*1 OK(409-#4819)
8/21 M4*1 OK(409-#4857)
9/23 M4*1 OK(410-#4857)
25/1/9 M4*2 OK(409-#5354)
1/10 M4*1 OK(409-#5354)
4/18 M4*2 OK(17M-#5511)
5/21 M4*1 OK(409-#5741)
5/22 M4*1 OK(409-#5741)
5/23 M4*1 OK(409-#5741)
5/27 M4*1 OK(409-#5741)
6/5 M4*1 OK(409-#5741)
6/6 M4*1 OK(409-#5741)</t>
      </text>
    </comment>
    <comment ref="E69" authorId="0" shapeId="0">
      <text>
        <t xml:space="preserve">guang:
4/17 M3*1 OK(17M-#3458)
4/19 出研磨(橋峰-#3458)
5/15 M3*1 OK(410-#3508)
5/22 出研磨(廠磨-#3508)
6/6 M3*1 OK(410-#3563)
6/12 出研磨(#3563)
7/21 M3*1 OK(17M-#3699)
7/25 M3*1 OK(17M-#3699)
7/28 M3*1 OK(17M-#3721)
8/3 出研磨(#3699*2)
8/3 出研磨(#3721*1)
8/17 M3*1 OK(17M-#3764)
8/21 M3*1 OK(17M-#3764)
8/23 M3*1 OK(17M-#3785)
8/25 M3*1 OK(17M-#3785)
8/28 出研磨(#3764*2)
9/5 出研磨(#3785*2)
9/25 M3*1 OK(17M-#3823)
9/27 M3*1 OK(17M-#3823)
10/16 出研磨(#3823*2)
12/5 M3*1 OK(409-#4029)
12/7 M3*1 OK(409-#4029)
12/11 M3*1 OK(409-#4029)
12/12 M3*1 OK(409-#4029)
12/13 M3*1 OK(409-#4082)
12/14 出研磨(#4029*2)
12/15 M3*1 OK(409-#4082)
24/1/3 出研磨(#4029*2)
1/3 出研磨(#4082*2)
2/2 M3*1 OK(409-#4215)
2/16 M3*1 OK(409-#4215)
2/19 M3*1 OK(409-#4238)
2/23 M3*1 OK(409-#4238)
2/26 出研磨(#4215*2)
2/26 M3*1 OK(409-#4238)
3/1 出研磨(#4238*3)
5/8 M3*1 OK(17M-#4469)
5/9 M3*1 OK(17M-#4469)
5/11 M3*1 OK(17M-#4469)
5/16 出研磨(#4469*3)
6/20 M3*1 OK(409-#4534)
6/25 M3*1 OK(409-#4534)
6/27 出研磨(#4534*2)
7/10 M3*1 OK(409-#4743)
7/11 M3*1 OK(409-#4743)
7/12 M3*1 OK(409-#4743)
7/15 M3*1 OK(409-#4642)
7/16 M3*1 OK(409-#4642)
7/17 M3*1 OK(409-#4469)
7/15 出研磨(#4743*3)
7/16 出研磨(#4642*2)
7/18 出研磨(#4469*1)
8/23 M3*1 OK(409-#4819)
8/26 M3*1 OK(409-#4819)
8/27 M3*1 OK(409-#4857)
8/29 出研磨(#4819*2)
8/30 出研磨(#4857*1)
9/25 M3*1 OK(17M-#4857)
10/7 出研磨(#4857*1)
25/1/11 M3*1 OK(409-#5354)
1/14 M3*1 OK(409-#5354)
1/15 M3*1 OK(409-#5354)
2/24 出研磨(#5354*2)
3/3 出研磨(#5354*1)
3/18 M3*1 OK(17M-#4682)
3/20 M3*1 OK(17M-#4682)
4/16 出元榮(#4682*2)
4/22 M3*1 OK(17M-#5511)
4/23 M3*1 OK(17M-#5511)
5/12 出元榮(#5511*2)
5/28 M3*1 OK(410-#5741)
5/29 M3*1 OK(410-#5741)
6/2 M3*1 OK(410-#5741)
6/4 M3*1 OK(410-#5741)
6/12 M3*1 OK(410-#5741)
6/13 M3*1 OK(410-#5741)
7/14 出元榮(#5741*2)
7/17 出元榮(#5741*4)
</t>
      </text>
    </comment>
    <comment ref="F69" authorId="0" shapeId="0">
      <text>
        <t xml:space="preserve">guang:
</t>
      </text>
    </comment>
    <comment ref="J69" authorId="0" shapeId="0">
      <text>
        <t xml:space="preserve">guang:
5/13 NG*1(LD_#4469)
guang:
6/17 出#4469*1
</t>
      </text>
    </comment>
    <comment ref="C70" authorId="0" shapeId="0">
      <text>
        <t xml:space="preserve">guang:
23/5/25 入1台(SY-#3557)(本廠轉)
6/27 入1台(SY-#3678)
8/21 入6台(SY-#3792)
10/16 入2台(SY-#3924)
10/27 入6台(SY-#3978)
11/6 入3台(SY-#3924)
12/11 入2台(SY-#3924)-換
guang:
12/14 入1台(SY-#4096)
12/14 入3台(SY-#4095)
24/1/2 入3台(SY-#4174)
1/2 入3台(SY-#4173)
1/2 入2台(SY-#4175)
1/3入1台(SY-#3978)
1/3 入2台(SY-#4096)
3/4 入6台(SY-#4348)
3/26 入2台(SY-#4348)
6/24 入5台(SY-#4707)
6/24 入1台(SY-#4760)
guang:
</t>
      </text>
    </comment>
    <comment ref="D70" authorId="0" shapeId="0">
      <text>
        <t xml:space="preserve">guang:
23/5/31 M4*1(409-#3557)
6/29 M4*1(17M-#3678)
8/28 M4*2(17M-#3792)
8/29 M4*2(17M-#3792)
8/30 M4*2(17M-#3792)
10/31 M4*2(17M-#3924)
11/1 M4*2(17M-#3978)
11/2 M4*2(17M-#3978)
11/3 M4*2(17M-#3978)
12/7 M4*2(17M-#3924)
12/8 M4*2(17M-#3924)
12/11 M4*1(410-#3924)
12/12 M4*2(410-#3924)-換
24/1/2 M4*1(17M-#4096)
1/3 M4*2(17M-#4095)
1/5 M4*1(17M-#4095)
1/9 M4*2(17M-#4173)
1/11 M4*1(17M-#4173)
1/11 M4*1(409-#4174)
1/15 M4*1(409-#4174)
1/16 M4*1(409-#4174)
1/16 M4*1(409-#4096)
1/18 M4*1(409-#4096)
1/22 M4*1(409-#3978)
1/22 M4*1(409-#4175)
1/23 M4*1(409-#4175)
3/12 M4*1(17M-#4348)
3/13 M4*1(17M-#4348)
3/14 M4*1(17M-#4348)
3/18 M4*2(17M-#4348)
3/19 M4*1(17M-#4348)
guang:
7/4~8 M4*5(410-#4707)
7/17 M4*1(410-#4760)
</t>
      </text>
    </comment>
    <comment ref="E70" authorId="0" shapeId="0">
      <text>
        <t xml:space="preserve">guang:
23/6/2 M3*1(409-#3557)
6/6 出1台(元榮-#3557)
6/30 M3*1(409-#3678)
7/6 出研磨*1(#3678)
9/1 M3*1(17M-#3792)
9/6 M3*1(17M-#3792)
9/7 M3*1(17M-#3792)
9/11 M3*1(17M-#3792)
9/13 M3*1(17M-#3792)
9/13 出研磨*2(#3792)
9/14 出研磨*2(#3792)
9/14 M3*1(17M-#3792)
9/26 出研磨*2(#3792)
11/6 M3*1(409-#3978)
11/7 M3*1(409-#3978)
11/9 M3*1(17M-#3978)
11/15 M3*1(17M-#3978)
11/20 出研磨*3(元榮-#3978)
11/20 M3*1(17M-#3924)
11/22 M3*1(17M-#3924)
11/24 出研磨*1(元榮-#3978)
11/24 M3*1(17M-#3978)
11/28 M3*1(17M-#3978)
11/28 NG*2(SY-#3924)
12/11 出研磨*2(元榮-#3978)
12/14 M3*1(410-#3924)-換
12/15 M3*1(410-#3924)-換
12/18 M3*1(17M-#3924)
12/20 M3*1(17M-#3924)
12/21 M3*1(17M-#3924)
12/26 出研磨*2(#3924)
24/1/4 M3*1(813-#4096)
1/5 M3*1(813-#4095)
1/9 M3*1(813-#4095)
23/1/10 出研磨*3(#3924)
1/10 出研磨*1(#4095)
1/10 出研磨*1(#4096)
1/10 M3*1(813-#4095)
1/11 M3*1(813-#4173)
1/15 M3*1(813-#4173)
1/16 出研磨*2(#4095)
1/16 出研磨*1(#4173)
1/16 M3*1(813-#4173)
1/17 M3*1(813-#4174)
1/18 M3*1(813-#4174)
1/22 M3*1(813-#4174)
1/19 出研磨*1(#4173)
1/23 M3*1(813-#4096)
1/24 M3*1(813-#4096)
1/24 出研磨*3(#4174)
1/25 M3*1(813-#3978)
1/26 M3*1(813-#4175)
1/30 M3*1(813-#4175)
2/19 出研磨*2(#4096)
2/19 出研磨*2(#4175)
2/19 出研磨*1(#4173)
2/19 出研磨*1(#3978)
3/21 M3*1(17M-#4348)
3/22 M3*1(17M-#4348)
3/26 出研磨*2(#4348)
3/26 M3*1(17M-#4348)
3/28 M3*1(17M-#4348)
4/1 M3*1(17M-#4348)
guang:
4/2 M3*1(17M-#4348)
4/10 出研磨*3(#4348)
4/10 M3*1(17M-#4348)
4/15 M3*1(17M-#4348)
5/15 出研磨*3(#4348)
7/19 M3*1(409-#4707)
7/22 M3*1(409-#4707)
7/23 M3*1(409-#4707)
7/26 出研磨*3(#4707)
8/2 M3*1(410-#4707)
8/6 M3*1(410-#4707)
8/12 出研磨*2(#4707)
8/19 M3*1(410-#4760)
8/28 出研磨*1(#4760)
</t>
      </text>
    </comment>
    <comment ref="G70" authorId="0" shapeId="0">
      <text>
        <t>
</t>
      </text>
    </comment>
    <comment ref="J70" authorId="0" shapeId="0">
      <text>
        <t xml:space="preserve">guang:
11/28 NG*2(SY-#3924)
12/11 出SY*2
</t>
      </text>
    </comment>
    <comment ref="C71" authorId="0" shapeId="0">
      <text>
        <t xml:space="preserve">guang:
24/2/29 入1台(SY-#4357)
</t>
      </text>
    </comment>
    <comment ref="D71" authorId="0" shapeId="0">
      <text>
        <t>guang:
24/3/4 M4*1 OK(813-#4357)</t>
      </text>
    </comment>
    <comment ref="E71" authorId="0" shapeId="0">
      <text>
        <t xml:space="preserve">guang:
24/3/11 M3*1 OK(813-#4357)
3/21 出1台(元榮-HA24031101-100002726-#4357)
</t>
      </text>
    </comment>
  </commentList>
</comments>
</file>

<file path=xl/comments/comment3.xml><?xml version="1.0" encoding="utf-8"?>
<comments xmlns="http://schemas.openxmlformats.org/spreadsheetml/2006/main">
  <authors>
    <author>guang</author>
    <author>ralf</author>
    <author>citrixadm</author>
    <author>a9301012</author>
    <author>001289</author>
  </authors>
  <commentList>
    <comment ref="C2" authorId="0" shapeId="0">
      <text>
        <t xml:space="preserve">guang:
4/10 入1台(YK)
4/14 入1台(YK)
4/21 入1台(YK)
5/2 入1台(YK)
5/16 入1台(YK)
5/24 入1台(YK)
6/6 入1台(YK)
6/15 入1台(YK)
6/19 入1台(YK)
6/22 入1台(YK)
7/5 入1台(YK)
9/25 入1台(YK)
10/12 入1台(YK)
10/16 入1台(YK)
10/25 入1台(YK)
11/1 入1台(YK)
11/09 入1台(YK)
11/16 入1台(YK)
11/22 入1台(YK)
12/20 入2台(YK)
2/9 入1台(YK)
2/13 入1台(YK)
3/5 入1台(YK)
3/8 入1台(YK)
4/17 入2台(YK)
4/23 入2台(YK)
4/27 入1台(YK)
5/7 入2台(YK)
5/11 入1台(YK)
5/22 入2台(YK)
5/28 入1台(YK)
9/7 入1台(YK)
9/25 入3台(YK)
10/11 入1台(YK)
12/3 入2台(YK)
12/13 入1台(YK)
12/14 入1台(YK)
3/7 入1台(YK)
3/20 入2台(YK)
4/1 入1台(YK)
4/12 入1台(YK)
4/23 入2台(YK)
5/15 入1台(YK)
long:
7/30 入1台(YK)
guang:
8/21 入1台(YK)
8/28 入1台(YK)
9/11 入2台(YK)
9/19 入1台(YK)
9/30 入1台(YK)
11/26 入1台(YK-換)
12/11 入1台(YK-換)
12/11 入1台(YK)
2/3 入1台(YK)
2/12 入2台(YK)
2/21 入1台(YK-換)
3/13 入1台(YK)
3/16 入1台(YK-換)
4/22 入2台(YK)
4/30 入2台(YK)
5/27 入2台(YK)
6/9 入1台(YK)
6/12 入1台(YK)
6/24 入1台(YK)
7/10 入1台(YK)
8/6 入1台(YK-換)
21/5/24 入1台(YK)
5/27 入1台(YK)
</t>
      </text>
    </comment>
    <comment ref="D2" authorId="0" shapeId="0">
      <text>
        <t xml:space="preserve">guang:
4/15 W1*1ok(408)
4/17 w1*1OK (408)未完
5/2 W1*1ok(408)
5/16 W1*2 OK(408)
6/23 W1*1ok(408)
6/30 W1*2 ok(408)
7/3 W1*1ok(408)
8/15 W1*1ok(408)
8/16 W1*1ok(408)
9/14 W1*1ok(408)
9/30 W1*1ok(408)
10/16 W1*1ok(408)
11/1 W1*1ok(523)
11/2 W1*1ok(523)
11/20 W1*1ok(523)
12/15 W1*1 OK(523)
12/20 W1*1 OK(523)
12/21 W1*1 OK(523)
1/30 W1*1ok(408)
1/31 W1*1ok(408)
2/13 W1*1 OK(408)
2/22 W1*1 OK(408)
3/8 W1*1 OK(408)
3/12 W1*1 OK(408)
5/11 W1*2 OK(408)
5/22 W1*2 OK(408)
5/23 W1*1 OK(408)
7/11 W1*2 OK(408)
7/24 W1*2 OK(408)
7/25 W1*1 OK(408)
8/8 W1*1 OK(408)
9/13 W1*1 OK(408)
10/11 W1*1 OK(408)
10/12 W1*1 OK(408)
10/15 W1*1 OK(408)
11/6 W1*1 OK(408)
12/28 W1*1 OK(408)
1/2 W1*1 OK(408)
1/3 W1*1 OK(408)
1/4 W1*1 OK(408)
3/14 W1*1 OK(408)
4/1 W1*1 OK(813)
4/3 W1*1 OK(813)
4/8 W1*1 OK(408)
4/19 W1*1 OK(408)
4/25 W1*1 OK(408)
4/26 W1*1 OK(408)
5/23 W1*1 OK(408)
7/31 W1*1 OK(408)
8/27 W1*1 OK(408)
9/4 W1*1 OK(408)
10/14 W1*1 OK(408)
10/22 W1*1 OK(408)
10/29 W1*1 OK(408)
11/4 W1*1 OK(408)
12/19 W1*1 OK(408)
12/20 W1*1 OK(408)
12/24 W1*1 OK(408)
2/13 W1*1 OK(408)
2/15 W1*1 OK(408)
2/17 W1*1 OK(408)
6/23 W1*1 OK(408)
6/24 W1*1 OK(408)
6/30 W1*1 OK(408)
7/1 W1*1 OK(408)
7/2 W1*1 OK(408)
8/6 W1*1 OK(409)
8/10 W1*1 OK(409)
8/11 W1*1 OK(409)
8/12 W1*1 OK(409)
10/13 W1*1 OK(408)
10/15 W1*1 OK(408)
10/19 W1*1 OK(408)
10/21 W1*1 OK(408)
10/27 W1*1 OK(408)
</t>
      </text>
    </comment>
    <comment ref="E2" authorId="0" shapeId="0">
      <text>
        <t xml:space="preserve">guang:
4/26 W2*1 OK(411)
5/4 W2*1 OK(411)
5/18 W2*1 OK(411)
6/5 W2*1 OK(411)
6/30 W2*1 OK(411)
7/5 W2*1 OK(411)
7/13W2*1 OK(411)
7/14 W2*1加工錯誤
9/1W2*1 OK(411)
9/5 W2*1 OK(411)
9/18 W2*1 OK(411)
10/6 W2*1 OK(411)
10/18 W2*1 OK(411)
11/6 W2*1 OK(411)
11/7 W2*1 OK(411)
12/18 W2*1 OK(411)
12/20 W2*1 OK(411)
12/27 W2*1 OK(411)
12/28 W2*1 OK(411)
2/12 W2*1 OK(411)
2/13 W2*1 OK(411)
2/22 W2*1 OK(411)
3/2 W2*1 OK(411)
3/17 W2*1 OK(411)
3/20 W2*1 OK(411)
5/17 W2*1 OK(411)(ok)
5/18 W2*1 OK(411)
5/28 W2*1 OK(411)
5/29 W2*1 OK(411)
5/31 W2*1 OK(411)
7/14 W2*1 OK(411)
7/17 W2*1 OK(411)
7/25 W2*1 OK(411)
7/27 W2*1 OK(411)
7/28 W2*1 OK(411)
8/13 W2*1 OK(411)
9/19 W2*1 OK(411)
10/18 W2*1 OK(411)
10/22 W2*1 OK(411)
11/8 W2*1 OK(411)
11/13 W2*1 OK(411)
1/9 W2*1 OK(410)
1/10 W2*1 OK(410)
1/10 W2*1 OK(411)
1/14 W2*1 OK(411)
3/21 W2*1 OK(351)
4/8 W2*1 OK(351)
4/10 W2*1 OK(351)
4/12 W2*1 OK(351)
5/2 W2*1 OK(411)
5/3 W2*1 OK(411)
5/13 W2*1 OK(351)
5/31 W2*1 OK(351)
8/6 W2*1 OK(411)
9/3 W2*1 OK(411)
9/10 W2*1 OK(411)
10/25 W2*1 砂孔報廢(411)
11/5 W2*1 OK(411)
11/8 W2*1 OK(411)
11/11 W2*1 砂孔報廢(411)
11/11 報廢*1(揚鋼載回-HA19101501)
12/11 報廢*1(揚鋼載回-HA19110101)
1/8 W2*1 OK(411)
2/17 W2*1 OK(411)
2/18 W2*1 NG(411-砂孔)
2/21 報廢*1(揚鋼載回-HA19122001)
3/6 W2*1 OK(411)
3/10 W2*1 OK(411)
guang:
3/12 移入報廢鑄件*1
3/16 入1台(揚鋼載回-HA19122001)
3/18 W2*1 OK(411)
3/27 出報廢*1(揚鋼載回-HA19122001)
7/8 W2*1 OK(411)
7/13 W2*1 OK(411)
7/17 W2*1 OK(411)
7/22 W2*1 OK(411)
7/27 W2*1 NG(411)-第一溝偏移錯誤
8/25 W2*1 OK(411)
8/28 W2*1 OK(411)
9/2 W2*1 OK(411)
9/7 W2*1 OK(411)
10/29 W2*1 OK(411)
11/3 W2*1 OK(411)
11/24 W2*1 OK(411)
11/30 W2*1 OK(411)
guang:
12/22 出1台(報廢)
12/30 W2*1 OK(411)
</t>
      </text>
    </comment>
    <comment ref="H2" authorId="0" shapeId="0">
      <text>
        <t xml:space="preserve">guang:
6/7 W3*1 OK(648)
6/23 出1台(本廠)
6/30 W3*1 OK(648)
7/6 出1台(本廠)
7/10 W3*1 OK(648)
7/13W3*1 OK(648)
7/20 出1台(本廠)
8/3 出1台(本廠)
9/4 W3*1 OK(648)
9/6 W3*1OK(648待補)
9/7 出1台(本廠)
9/19 W3*1 OK(648)
9/21 出1台(本廠)
10/5 出1台(本廠)
10/11 W3*1 OK(648)
10/16 出1台(本廠)
10/19 W3*1 OK(648)
10/22 出1台(本廠)
11/6 W3*1 OK(648)
11/8 W3*1 OK(648)
11/8 出1台(本廠)
12/4 出1台(6路)
12/19 W3*1 OK(648)
12/22 W3*1 OK(648)
12/29 W3*1 OK(648)
1/2 W3*1 OK(648)
1/11 出1台(轉台典研)(HA17122101)
1/23 出1台(6路)
1/29 出1台(6路)
2/13 W3*1 OK(648)
2/21 W3*1 OK(648)
2/27 W3*1 OK(648)
3/6 W3*1 OK(648)
3/7 出1台(6路)
3/8 出1台(6路)
3/9 出1台(6路)
3/22 出1台(6路)
3/23 W3*2 OK(648)
4/2 出1台(6路)
4/25 出1台(6路)
5/23 W3*1 OK(648)
5/24 W3*1 OK(648)
5/29 出1台(轉台典研)
5/31 W3*3 OK(648)
7/18 W3*2 OK(648)
7/18 出1台(6路)
7/25 出1台(6路)
7/30 出3台(6路)
7/31 W3*1 OK(648)
8/1 W3*2 OK(648)
8/8 出4台(6路)
8/14 W3*1 OK(648)
8/30 出1台(6路)
9/6 出1台(6路)
9/21 W3*1 OK(648)
10/8 出1台(6路)
10/19 W3*1 OK(648)
10/24 W3*1 OK(648)
10/29 出1台(6路)
11/7 出1台(6路)
11/13 W3*2 OK(648)
11/13 出1台(6路)
1/11 W3*2 OK(648)
1/15 W3*2 OK(648)
1/19 出1台(6路-HA18110601)
1/24 出1台(6路-HA19010401)
2/1 出1台(6路-HA18122801)
2/25 出1台(6路-HA19010201)
2/27 出1台(6路-HA19010301)
3/21 W3*1 OK(648)
4/9 W3*1 OK(648)
4/11 W3*1 OK(648)
4/18 W3*1 OK(648)
4/23 出1台(6路-HA19040801)
5/6 W3*2 OK(648)
5/13 W3*1 OK(648)
5/16 出1台(6路-HA19031501)
5/28 出1台(6路-HA19040301)
6/4 W3*1 OK(648)
6/28 出1台(6路-HA19042601)
7/18 出1台(6路-HA19040101)
long:
7/30 出1台(6路HA19052301)
guang:
8/19 出1台(6路HA19042501)
8/20 W3*1 OK(648)
9/5 W3*1 OK(648)
9/18 W3*1 OK(648)
9/18 出1台(6路-HA19082701)
10/15 出1台(6路-HA19090401)
10/22 入1台(砂孔-HA19082701-OK)
11/12出1台(砂孔-HA19082701-OK)
11/15 W3*1 OK(648)
11/18 W3*1 OK(648)
12/17 出1台(6路-HA19102201)
1/14 出1台(6路-HA19102901)
1/14 W3*1 OK(648)
2/25 W3*1 OK(648)
2/26 出1台(6路-HA19073101)
3/3 出2台(6路-HA19121901,HA19122401)
3/9 W3*1 OK(648)
3/19 W3*1 OK(648)
6/18 出1台(6路-HA20031301-28148)
6/18 出1台(6路-HA20021801-28149)
7/15 W3*1 OK(648)
7/16 W3*1 OK(648)
7/17 出1台(6路-HA19041901-28156)
7/20 W3*1 OK(648)
7/24 W3*1 OK(648)
7/27 出1台(6路-HA20062901-28147)
9/1 W3*2 OK(648)
9/3 W3*1 OK(648)
9/8 W3*1 OK(648)
9/29 出1台(6路-HA20080601-27699)
10/20 出1台(6路-HA20081101-27827)
10/30 W3*1 OK(648)
11/4 W3*1 OK(648)
11/19 出1台(台典研-HA20102101-27828)
11/26 W3*1 OK(648)
12/2 W3*1 OK(648)
12/4 出1台(6路-HA20101901-27829)
21/1/4 W3*1 OK(648)
2/25 出1台(6路-HA20101501-100000393-H08000548)
2/26 出1台(6路-HA20081201-100000362)
4/19 出1台(6路-HA20101301-100000527)
4/22 出1台(6路-HA20102701-100000545)
5/5 出1台(6路-HA20081001-100000614-H08000548)
22/2/14 出1台(6路-HA20070101-100001515-H08000548)
3/15 出1台(6路-HA20063001-100001503-000400000895)
24/4/10 出1台(6路-HA20062301-100002778-H08000548)
</t>
      </text>
    </comment>
    <comment ref="C3" authorId="0" shapeId="0">
      <text>
        <t xml:space="preserve">guang:
3/27 入1台(YK)(新版)
21/7/12 入1台(YZ)(新版)
8/12 入1台(YZ)
8/30 入1台(YZ)
9/7 入1台(YZ)
9/13 入2台(YZ)
9/30 入1台(YK)
10/21 入1台(YZ-換)
10/21 入1台(YZ)
12/9 入1台(YZ-換#1643)
12/21 入1台(YZ)
22/1/5 入1台(YZ-#2116)
1/12 入1台(YZ-#2118)
1/18 入2台(YK-2105)
1/18 入1台(YZ-換2#1643)
1/19 入1台(LD-#2228)
2/18 入1台(LD-#2306)
2/21 入2台(YK-2241)
3/29 入3台(YK-#2532)
3/29 入2台(LD-#2544)
4/1 入1台(LD-#2562)
5/12 入1台(LD-#1542-換)
12/14 入1台(LD-#3269)
23/2/2 入1台(LD-#2544-換)
2/8 入1台(LD-#3389)
2/21 入1台(LD-#2544-換)
4/6 入1台(LD-#3462)
5/17 入1台(LD-#3562)
guang:
6/12 入1台(LD-#3610)
6/19 入1台(LD-#3641)
7/17 入1台(LD-#3700)
24/2/20 入2台(LD-#4318)
3/11 入1台(YK-#4384)
4/22 入1台(LD-#4533)
guang:
8/8 入1台(SY-#4888)
8/23 入2台(SY-#4888)
11/18 入1台(SY-#5136)
guang:
25/1/2 入1台(SY-#5284)
1/6 入1台(SY-#5284)
1/16 入1台(SY-#5322)
4/16 入2台(SY-#5322)
4/16 入1台(SY-#5441)
</t>
      </text>
    </comment>
    <comment ref="D3" authorId="0" shapeId="0">
      <text>
        <t xml:space="preserve">guang:
4/7 W1*1 OK(408)
21/7/12 W1*1 OK(408)
8/16 W1*1 OK(408-1433)
9/1 W1*1 OK(408-1542)
9/2 W1*1 OK(408-1547)
9/14 W1*1 OK(408-1643)
9/15 W1*1 OK(408-1643)
10/13 W1*1 OK(408-1704)
10/27 W1*1 OK(813-1604)
11/1 W1*1 OK(813-1542)(補件)
12/14 W1*1 OK(408-1643)(補件)
12/29 W1*1 OK(408-2081)
22/1/12 W1*1 OK(408-2116)409
1/17 W1*1 OK(813-2118)
1/22 W1*1 OK(409-1643)(補件)
3/3 W1*1 OK(17M-2241)
3/4 W1*1 OK(17M-2241)
3/9 W1*1 OK(17M-2105)
3/10 W1*1 OK(17M-2105)
3/11 W1*1 OK(17M-2306)
5/20 W1*1 OK(409-#1542)
5/21 W1*1 OK(409-#2562)
5/23 W1*1 OK(409-#2544)
5/24 W1*1 OK(409-#2544)
6/17 W1*1 OK(813-#2532)
6/18 W1*1 OK(409-#2532)
6/20 W1*1 OK(409-#2532)
001289:
12/15 W1*1 OK(813-#3269)
23/2/8 W1*1 OK(409-#2544-換)
2/14 W1*1 OK(409-#3389)
3/2 W1*1 OK(813-#2544-換)
4/10 W1*1 OK(409-#3462)
5/24 W1*1 OK(409-#3562)
6/14 W1*1 OK(410-#3610)
6/21 W1*1 OK(410-#3641)
7/19 W1*1 OK(813-#3700)
24/2/22 W1*1 OK(410-#4318)
2/26 W1*1 OK(410-#4318)
3/21 W1*1 OK(409-#4384)
5/3 W1*1 OK(409-#4533)
8/15 W1*1 OK(409-#4888)
9/5 W1*1 OK(813-#4888)
9/6 W1*1 OK(813-#4888)
11/26 W1*1 OK(813-#5136)
25/1/8 W1*1 OK(813-#5284)
1/10 W1*1 OK(813-#5284)
2/5 W1*1 OK(409-#5322)
5/8 W1*1 OK(813-#5322)
5/12 W1*1 OK(813-#5322)
9/23 W1*1 OK(813-#5441)
</t>
      </text>
    </comment>
    <comment ref="E3" authorId="0" shapeId="0">
      <text>
        <t xml:space="preserve">guang:
4/10 W2*1 OK
21/7/23 W2*1 OK(411-1252)
8/19 W2*1 OK(411-1433)
9/6 W2*1 OK(411-1547)
9/8 W2*1 OK(411-1542)
9/16 W2*1 OK(411-1547)
9/17 W2*1 OK(411-1643)
9/21 W2*1 OK(411-1643)
10/21 W2*1 OK(411-1704)
11/1 W2*1 OK(411-1542)(補件)
11/2 W2*1 OK(411-1604)
12/20 W2*1 OK(411-1643)(補件)
22/1/3 W2*1 OK(411-2081)
1/14 W2*1 OK(411-2116)
1/20 W2*1 OK(411-2118)
1/26 W2*1 OK(411-1643)(補件)
2/8 W2*1 OK(411-2228)
3/9 W2*1 OK(411-2241)
3/11 W2*1 OK(411-2241)
3/15 W2*1 OK(411-2105)
3/17 W2*1 OK(411-2306)
3/21 W2*1 OK(411-2105)
5/25 W2*1 OK(411-#1542)(補件)
5/27 W2*1 OK(411-#2562)
6/1 W2*1 OK(411-#2544)
6/6 W2*1 OK(411-#2544)
6/26 W2*1 OK(411-#2532)
6/29 W2*1 OK(411-#2532)
7/4 W2*1 OK(411-#2532)
23/2/20 W2*1 OK(411-#2544-換)
2/23 W2*1 OK(411-#3389)
3/9 W2*1 OK(351-#2544-換)
4/14 W2*1 OK(411-#3462)
6/5 W2*1 OK(411-#3562)
6/21 W2*1 OK(411-#3610)
6/28 W2*1 OK(411-#3643)
7/31 W2*1 OK(411-#3700)
24/2/26 W2*1 OK(411-#4318)
3/4 W2*1 OK(411-#4318)
4/2 W2*1 OK(411-#4384)
5/8 W2*1 OK(411-#4533)
8/28 W2*1 OK(411-#4888)
9/10 W2*1 OK(411-#4888)
12/3 W2*1 OK(411-#4888)
12/5 W2*1 OK(411-#5136)
25/1/10 W2*1 OK(411-#5284)
1/15 W2*1 OK(411-#5284)
2/10 W2*1 OK(411-#5322)
5/13 W2*1 OK(411-#5322)
5/19 W2*1 OK(411-#5322)
10/2 W2*1 OK(411-#5441)
</t>
      </text>
    </comment>
    <comment ref="H3" authorId="0" shapeId="0">
      <text>
        <t xml:space="preserve">guang:
4/13 W3*1 OK(648)
4/17 出1台(6路-HA20040701-28063)
21/7/28 W3*1 OK(648-000400001252)
8/18 出1台(三廠-HA21071401-100000736-000400001252-T溝22寬準)
8/25 W3*1 OK(648-000400001433)
8/30 出1台(三廠-HA21081601-100000719-000400001433-T溝21寬)
9/7 W3*1 OK(648-000400001547-T溝21寬)
9/8 W3*1 OK(648-000400001542-T溝21寬)
9/8 出1台(三廠-HA21090201-100000720-000400001547-T溝21寬)
9/13 退1台(永棧-HA21090101-LD21082301-000400001542-硬度不足)
9/16 W3*1 OK(648-000400001547-T溝21寬)
9/17 出1台(三廠-HA21091301-100000740-000400001547-T溝21寬)
9/22 W3*2 OK(648-000400001643-T溝21寬)
10/6 出1台(本廠-HA21091501-100000835-000400001643-T溝21寬)
10/8 出1台(本廠-HA21091401-100000959-000400001643-T溝21寬)--砂孔報廢
10/25 W3*1 OK(648-000400001704-T溝21寬)
10/25 出1台(本廠-HA21101301-100000836-000400001704-T溝21寬)
11/2 W3*1 OK(648-000400001542-T溝21寬)(補件)
11/3 W3*1 OK(648-000400001604-T溝21寬)
11/15 出1台(本廠-HA21102701-100000959-000400001604-T溝21寬)補1643
12/14 出1台(本廠-HA21102801-100001380-000400001542-T溝21寬)
12/21 W3*1 OK(648-000400001643-T溝21寬)(補件-結水痕)報廢
22/1/4 W3*1 OK(648-000400002081-T溝21寬)
1/17 W3*1 OK(648-000400002116-T溝21寬)
1/20 出1台(本廠-HA22011201-100001432-000400002116-T溝21寬)
1/22 W3*1 OK(648-000400002118-T溝21寬)
2/8 W3*1 OK(648-000400001643-T溝21寬)
2/9 W3*1 OK(648-000400002228-T溝21寬)
2/22 出1台(本廠-HA22012401-100001423-000400002228-T溝21寬)
2/24 出1台(本廠-HA22012201-100001380-000400001643-T溝修壞-更換)
3/1 出1台(本廠-HA21122901-100001395-000400002081-T溝21寬)
3/10 W3*1 OK(648-000400002241-T溝21寬)
3/15 W3*1 OK(648-000400002241-T溝21寬)
3/16 W3*1 OK(648-000400002105-T溝21寬)
3/21 W3*1 OK(648-000400002306-T溝21寬)
3/23 W3*1 OK(648-000400002105-T溝21寬)
5/12 出1台(本廠-HA22031001-100001690-000400002105-T溝21寬)
6/1 W3*1 OK(648-000400001542-T溝21寬)(補件)
6/1 W3*1 OK(648-000400002562-T溝21寬)
6/6 W3*1 OK(648-000400002544-T溝21寬)
6/7 W3*1 OK(648-000400002544-T溝21寬)
6/15 出1台(本廠-HA22031101-100001827-000400002306-T溝21寬)
6/23 出1台(本廠-HA22030901-100001828-000400002105-T溝21寬)
6/30 出1台(本廠-HA22030401-100001385-000400002241-T溝21寬)
6/30 W3*1 OK(648-000400002532-T溝21寬)
7/1 W3*1 OK(648-000400002532-T溝21寬)
7/6 W3*1 OK(648-000400002532-T溝21寬)
7/11 出1台(本廠-HA22030301-100001897-000400002241-T溝21寬)抽單改-1000001940
guang:
9/23 出1台(本廠 -HA22052401-100001897-000400002532)-復活
guang:
001289:
11/2 出1台(本廠 -HA22052301-100002003-000400002532)
11/8 出1台(本廠 -HA22061801-100002074-000400002544)-報廢結水痕
001289:
12/16 出1台(本廠 -HA22052001-100002173-000400001542)
12/27 W3*1 OK(648-000400003269-T溝21寬)
guang:
23/1/3 出1台(本廠 -HA22052101-100002074-000400002562)-報廢交換
001289:
1/31 出1台(本廠 -HA22011701-100002224-000400002118送研磨T溝22寬)
1/31 出1台(本廠 -HA22061701-100002218-000400002544送研磨T溝22寬)報廢結水痕
2/6 出1台(本廠-HA22122701-100002218-000400003269送研磨T溝22寬)
2/23 W3*1 OK(648-000400002544-補-T溝21寬)
3/6 W3*1 OK(648-000400003389-補-T溝21寬)
3/9 W3*1 OK(648-000400002544-補-T溝21寬)
3/17 出1台(本廠 -HA23020801-100002269-000400002544-補件)
4/10 出1台(本廠 -HA23021401-100002290-000400003389)+100H
4/18 W3*1 OK(648-#3462)
4/27 出1台(本廠-HA23030201-100002374-000400002544-補件)
guang:
6/8 W3*1 OK(648-#3562)
6/19 出1台(本廠-HA23052401-100002385-000400003562)+100H
7/3 W3*1 OK(648-#3610)
7/4 W3*1 OK(648-#3643)
8/3 出1台(本廠-HA23062101-100002482-000400003643)
8/9 W3*1 OK(648-#3700)
8/17 出1台(本廠-HA23061401-100002501-000400003610)
11/1 出1台(本廠-HA23071901-100002555-000400003700)
24/1/9 出1台(本廠-HA23041001-100002667-000400003462)
1/22 出1台(本廠-HA22062001-100002699-000400002532-T22)
24/2/26 W3*1 OK(648-#4318)
3/7 W3*1 OK(648-#4318)
3/18 出1台(本廠-HA24022201-100002715-000400004318)
3/25 出1台(本廠-HA24022601-100002736-000400004318)
4/8 W3*1 OK(648-#4384)
5/2 出1台(本廠-HA24032101-100002802-000400004384)
5/9 W3*1 OK(648-#4533)
5/14 出1台(本廠-HA24050301-100002827-000400004533)
5/23 入1台(本廠-HA24050301-100002827-000400004533)修改
8/28 W3*1 OK(648-#4888)
guang:
9/4 入1台(YK-大陸加工-#4960)
9/19 出1台(本廠-LYM24061208-100002940-000400004960)大陸加工
9/19 W3*1 OK(648-#4888)
10/11 出1台(本廠-HA24090501-100002993-000400004888)
12/6 W3*1 OK(648-#4888)
12/9 W3*1 OK(648-#5136)
12/18 出1台(本廠-HA24112601-100003086-000400005136)
12/20 出1台(本廠-HA24090601-100002996-000400004888)
25/1/2 出1台(本廠-HA24081501-100003093-000400004888)
1/14 W3*1 OK(648-#5284)
1/16 出1台(本廠-HA25010801-100003126-000400005284)
1/16 W3*1 OK(648-#5284)
2/14 W3*1 OK(648-#5322)
5/19 W3*1 OK(648-#5322)
5/19 W3*1 OK(648-#5322)
10/16 W3*1 OK(648-#5441)
</t>
      </text>
    </comment>
    <comment ref="L3" authorId="0" shapeId="0">
      <text>
        <t xml:space="preserve">guang:
12/21 W3*1 OK(648-000400001643-T溝21寬)(補件-結水痕)報廢
22/1/19 出1台(HA21121401-#1643-LD載回)
guang:
2/24 入(HA21102801-100001380-000400001542-6路插刀)報廢
5/12 出1台(HA21102801-#1542-LD載回)
23/1/4 入(HA22061801-100002074-000400002544-報廢結水痕)
2/2 出1台(HA22061801-#2544-LD載回)
guang:
2/14 入1(台典研結水痕-#2544)
2/21 出1台(HA22061701-#2544-LD載回)
</t>
      </text>
    </comment>
    <comment ref="C4" authorId="0" shapeId="0">
      <text>
        <t xml:space="preserve">guang:
7/5 入2台(YK)
7/18 入1(YK)
7/25 入2台(YK)
8/4 入1台(YK)
8/17 入1台(YK)
8/30 入1台(YK)
9/8 入1台(YK)(換)
9/15 入1台(YK)
9/25 入2台(YK)
10/12 入1台(YK)
10/16 入1台(YK)
10/25 入1台(YK)
11/1 入1台(YK)
11/09 入2台(YK)
11/16 入1台(YK)
11/29 入1台(YK)
1/19 出2台(YK)(變形過多)
1/19 入1台(YK)(換)
1/26 入1台(YK)(換)
1/31 入1台(YK)
2/9 入1台(YK)
2/13 入1台(YK)
3/5 入2台(YK)
3/8 入1台(YK)
3/15 入1台(YK)
3/22 入2台(YK)
3/30 入1台(YK)
4/12 入3台(YK)
4/23 入2台(YK)
4/27 入1台(YK)
5/7 入2台(YK)
5/11 入1台(YK)
5/22 入2台(YK)
5/28 入1台(YK)
6/1 入1台(YK)
6/19 出1台(扭曲過大)
10/11 入1台(YK)(補件)
1/19 入1台(YK)
3/7 入1台(YK)
4/1 入1台(YK)
4/12 入1台(YK)
4/23 入1台(YK)
5/15 入1台(YK)
6/18 入1台(YK)
long:
7/30 入1台(YK)
guang:
8/21 入1台(YK)
8/28 入1台(YK)
9/11 入1台(YK)
9/19 入1台(YK)
11/26 入1台(YK-換)
12/11 入1台(YK-換)
1/2 入3台(YK)
2/3 入1台(YK)
2/12 入1台(YK-換)
2/21 入1台(YK)
3/13 入3台(YK)
3/27 入1台(YK-換)
3/16 入1台(YK)
4/22 入1台(YK)
5/27 入1台(YK)
5/29 入1台(YK-特殊件-填滿)
8/6 入1台(YK-換)
21/1/21入2台(YK)
4/9 入1台(YK)
4/12 入1台(YK)
5/24 入1台(YK)
6/10 入1台(YK)
7/12入2台(YK)
</t>
      </text>
    </comment>
    <comment ref="D4" authorId="0" shapeId="0">
      <text>
        <t xml:space="preserve">guang:
5/18 W1*2 OK(408)
5/19 W1*2 OK(408)
6/12 W1*1 OK(408)
6/15 W1*1 OK(408)
6/20 W1*1 OK(408)
6/21 W1*1 OK(408)
7/4 W1*1 OK(408)
8/2 W1*2 OK(408)
8/11 W1*1 OK(408)
8/15 W1*1 OK(408)
9/4 W1*1 OK(408)
9/6 W1*1 OK(408)
9/7 W1*1 OK(408)
9/16 W1*1 OK(408)
9/18 W1*1 OK(408)
9/25 W1*1 OK(408)
9/29 W1*1 OK(408)
10/24 W1*1 OK(408)
11/3 W1*1 OK(523)
11/14 W1*1 OK(523)
11/15 W1*1 OK(523)
11/23 W1*1 OK(523)
11/24 W1*1 OK(523)
12/8 W1*1 OK(523)
1/23 W1*1 OK(408)
1/30 W1*1 OK(408)
2/1 W1*1 OK(408)
2/21 W1*1 OK(408)
2/22 W1*1 OK(408)
3/8 W1*2 OK(408)
3/12 W1*2 OK(408)
3/19 W1*1 OK(408)
3/24 W1*1 OK(408)
3/26 W1*1 OK(408)
4/26 W1*1 OK(408)
4/27 W1*1 OK(408)
4/28 W1*1 OK(408)
6/8 W1*1 OK(408)
6/11 W1*1 OK(408)
6/12 W1*1 OK(408)
6/16 W1*1 OK(408)
6/19 W1*1 OK(408)
6/20 W1*1 OK(408)
9/14 W1*1 OK(408)
9/15 W1*1 OK(408)
9/17 W1*2 OK(408)
11/01 W1*1 OK(408)
2/15 W1*1 OK(408)
3/13 W1*1 OK(408)
4/9 W1*1 OK(408)
4/16 W1*1 OK(408)
5/22 W1*1 OK(408)
6/21 W1*1 OK(408)
8/1 W1*1 OK(408)
8/29 W1*1 OK(408)
9/2 W1*1 OK(408)
9/26 W1*1 OK(408)
10/2 W1*1 OK(408)
12/4 W1*1 OK(408)
12/13 W1*1 OK(408)
1/6 W1*1 OK(408)
1/8 W1*1 OK(408)
1/10 W1*1 OK(408)
2/6 W1*1 OK(408)
2/17 W1*1 OK(408)
3/6 W1*1 OK(408)
4/1 W1*1 OK(408)
4/6 W1*1 OK(408)
5/12 W1*1 OK(408)
5/13 W1*1 OK(408)
5/14 W1*1 OK(408)
5/18 W1*1 OK(408)
6/8 W1*1 OK(408-特殊)
9/22 W1*1 OK(408)
9/25 W1*1 OK(408)
21/1/28 W1*1 OK(408)
2/2 W1*1 OK(408)
4/22 W1*1 OK(408)
4/26 W1*1 OK(408)
6/7 W1*1 OK(408)
9/22 W1*1 OK(408-1212)
9/27 W1*1 OK(408-1212)
</t>
      </text>
    </comment>
    <comment ref="E4" authorId="0" shapeId="0">
      <text>
        <t xml:space="preserve">guang:
5/16 w2*1ok(351)
6/5  w2*1ok(351)
6/7  w2*1ok(351)
6/14 w2*1ok(411)
6/20 W2*1ok(411)
6/22 W2*1ok(411)
6/28 W2*1ok(411)
7/11 W2*1ok(411)
8/14 W2*1OK(411)(待處理-砂孔)-OK
8/24 W2*1ok(411)
8/29 W2*1ok(411)
8/31砂孔過多(報廢-換9/8)
9/7 W2*1ok(411)
9/11 W2*1ok(411)
9/13 W2*1ok(411)
9/20 W2*1ok(411)
9/21 W2*1ok(411)
9/27 W2*1ok(411)
10/3 W2*1ok(411)
11/2 W2*1ok(411)
11/09 W2*1ok(411)
11/17 W2*1ok(411)
11/21W2*1ok(411)(溝太大)
11/29 W2*1ok(411)
12/15 W2*1ok(411)
12/21 W2*1ok(411)
12/25 W2*1ok(411)
2/1 W2*1ok(411)
2/24 W2*1ok(411)
2/27 W2*1ok(411)
3/1 W2*1ok(411)
3/12 W2*1ok(411)
3/14 W2*1ok(411)
3/16 W2*1ok(411)
3/21 W2*1ok(411)
3/30 W2*1ok(411)
4/2 W2*1ok(411)
5/8 W2*1ok(411)
5/10 W2*1ok(411)
5/10 W2*1 加工不良(411)
6/14 W2*1ok(351)
6/16 W2*1ok(411)
6/20 W2*1 ok (411)
6/22 W2*1 ok (411)
6/25 W2*1 OK(411)
6/26 W2*1 OK(411)
10/3 W2*1 OK(411)
10/24 W2*1 OK(411)
10/26 W2*1 OK(411)
10/31 W2*1 OK(411)
11/30 W2*1 OK(411)
2/20 W2*1 OK(411)
3/19 W2*1 OK(351)
4/17 W2*1 OK(351)
4/19 W2*1 OK(351)
4/24 W2*1 OK(351)
4/30 W2*1 OK(351)
5/29 W2*1 OK(351)
6/28 W2*1 OK(351)
8/12 W2*1 OK(411)
9/30 W2*1 NG(411-T溝深度錯誤)
10/14 W2*1 OK(411)
10/22 W2*1 OK(411-T溝底砂孔過多)
10/24 W2*1 NG(正面砂孔)
11/7 出1台(NG-T溝底砂孔過多)
11/11 報廢*1(揚鋼載回-HA19092601)
11/11 入1台(NG-T溝底砂孔過多-處理過)
11/26 報廢*1(揚鋼載回-HA19092601)
12/12 W2*1 OK(411)
12/23 W2*1 OK(411)
1/15 W2*1 OK(411)
1/31 W2*1 OK(411)
2/7 W2*1 OK(411)
2/13 W2*1 OK(411)
2/25 W2*1 OK(411-T溝溝底破孔)
3/6 載回處理(HA20021701-T溝溝底破孔)
guang:
3/12 移入報廢鑄件*2
3/16 入1台(HA20021701-T溝溝底破孔)
3/16 W2*1 OK(411)
3/27 出報廢*1(HA20021701-T溝溝底破孔)
4/13 W2*1 OK(351)
4/17 W2*1 OK(351)
5/18 W2*1 OK(411)
5/21 W2*1 OK(411)
5/28 W2*1 OK(411)
6/8 W2*1 OK(411)
6/15 W2*1 OK(411-特殊件)
10/16 W2*1 OK(411)
10/23 W2*1 OK(411)
21/2/3 W2*1 OK(411)
4/28 W2*1 OK(411)
5/4 W2*1 OK(411)
6/15 W2*1 OK(411)
7/21 W2*1 OK(411)
10/4 W2*1 OK(411-1212)
10/7 W2*1 OK(411-1212)
</t>
      </text>
    </comment>
    <comment ref="H4" authorId="0" shapeId="0">
      <text>
        <t xml:space="preserve">guang:
1/15 出1台(6路)
1/26 W3*1 OK(648)
1/29 出1台(6路)
2/2 W3*1 OK(648)
2/5 出1台(6路)
3/1 W3*2 OK(648)
3/5 W3*1 OK(648)
3/21 W3*2 OK(648)
3/22 W3*2 OK(648)
3/30 W3*1 OK(648)
4/3 W3*1 OK(648)
4/25 出1台(6路)
5/9 出2台(6路)
5/14 W3*1 OK(648)
5/15 W3*1 OK(648)
5/18 出1台(6路)
5/23 出1台(6路)
5/25 出1台(6路)
5/30 出1台(6路)
6/1 出1台(6路)
6/6 出1台(6路)
6/20 W3*2 ok(648)
6/25 W3*2 OK(648)
6/26 W3*1 OK(648)
6/28 W3*1 OK(648)
7/12 出2台(6路)
7/23 出1台(6路)
7/24 出1台(6路)
9/14 出1台(6路)
9/25 出1台(6路)
10/15 W3*1 OK(648)
10/23 出1台(6路)
10/24 出1台(6路)
10/25 W3*1 OK(648)
10/29 W3*1 OK(648)
10/29 出1台(6路)
11/01 W3*1 OK(648)
11/12 出1台(6路)
12/4 W3*1 OK(648)
2/11 出1台(6路-HA18103101)
2/19 出1台(6路-HA18091701)
2/22 W3*1 OK(648)
3/21 W3*1 OK(648)
3/22 出2台(6路-HA18091702,19031502)
4/22 W3*1 OK(648)
4/29 W3*1 OK(648)
5/2 W3*1 OK(648)
5/15 出1台(破孔)-YK載回
5/30 W3*1 OK(648)
7/1 出1台(6路-HA18091702)
7/2 W3*1 OK(648)
7/12 出1台(6路-HA19052201)
long:
7/26 出1台(6路HA19041601)
guang:
8/15 W3*1 OK(648)
8/19 出1台(6路HA19040901)
9/18 出1台(6路-HA19080101)
11/4 出1台(6路-HA19062101)
11/12 W3*1 OK(648)
12/6 出1台(6路-HA19112801)
12/13 W3*1 OK(648)
12/17 出1台(6路-HA19120401)
12/24 W3*1 OK(648-面研磨)
1/2 出1台(轉台典研-HA19121301)
1/14 出1台(6路-HA17111501)
1/16 W3*1 OK(648)
2/3 W3*1 OK(648)
2/4 出1台(6路-HA20011001)
2/12 出1台(硬度過高)-YK載回
2/13 W3*1 OK(648)
2/14 W3*1 OK(648)
2/20 出1台(6路-HA20020501)
3/18 W3*1 OK(648)
3/26 出1台(6路-HA20030301)
4/10 出1台(6路-HA20010801-27832)
4/21 W3*2 OK(648)
5/22 W3*2 OK(648)
6/1 W3*1 OK(648)
6/9 W3*1 OK(648)
6/16 W3*1 OK(648-特殊件)
6/17 出1台(台典-HA20060801-28125-特殊)
9/7 出1台(6路-HA20051801-27732)
9/14 出1台(6路-HA20051401-27731)
10/20 出1台(6路-HA20051301-27807)
10/26 W3*2 OK(648)
11/16 出1台(6路-HA20092201-27809)
21/2/4 出1台(6路-HA20092501-100000179)
2/19 W3*1 OK(648)
2/23 W3*1 OK(648)(HA21020201-000400000114)
2/26 出1台(6路-HA20051201-100000344-00040000039)
3/5 出1台(6路-HA21012801-100000308-000400000391)
3/11 出1台(6路-HA21020201-100000401-000400000114)
4/29 出1台(6路-HA20040101-100000477)
4/30 W3*1 OK(648)(HA21042201-000400000573)
5/6 W3*1 OK(648)(HA21042601-000400000578)
5/11 出1台(6路-HA21042601-100000546-000400000578)
6/17 W3*1 OK(648)(HA21060701-000400000672)
7/21 出1台(三廠-HA21060701-100000910-000400000672)
7/27 W3*1 OK(648)(HA21061601-000400000894)
9/11 出1台(三廠-HA21061601-100000478-000400000894)
10/6 W3*1 OK(648)(HA21092201-000400001212)
10/8 W3*1 OK(648)(HA21092701-000400001212)
11/3 出1台(6路-HA21042201-100001079-000400000573)
11/11 出1台(6路-HA21092701-100001078-000400001212)
12/6 出1台(6路-HA21092201-100001303-000400001212)
12/9 出1台(6路-HA21040601-100001326-000400000000)
</t>
      </text>
    </comment>
    <comment ref="N4" authorId="0" shapeId="0">
      <text>
        <t xml:space="preserve">guang:
用透明漆處理完成-HA17111501-1/14出
</t>
      </text>
    </comment>
    <comment ref="C5" authorId="0" shapeId="0">
      <text>
        <t>guang:
7/27 入1台(YZ)
8/12 入1台(YZ)
8/20 入1台(YZ)
9/22 入2台(YZ)
10/6 入2台(YZ)
11/9 入2台(YZ-NEW)
11/10 入2台(YZ-NEW)
11/22 入2台(YZ-補1912)
12/9 入1台(YZ-換#1750)
12/21 入1台(YZ-換#1912)
22/1/3 入2台(YZ-換#1911)
1/4 入2台(YK-#2083)
1/12 入2台(LD-#2164)
1/13 入2台(LD-#2182)
1/17 入1台(LD-#2189)
1/19 入2台(LD-#2229)
1/27 入2台(LD-#2249)
3/7 入2台(LD-#2418)
3/16 入2台(LD-#2459)
3/21 入2台(LD-#2486)
5/19 入1台(LD-#2786)
7/27 入1台(LD-#2418-換)
23/6/20 入1台(YK#3638)
24/1/17 入2台(LD-#4250)
4/10 入1台(LD-#4471)
4/22 入1台(LD-#4532)
6/19 入1台(LD-#4532-換)
6/19 入1台(LD-#4835)
guang:
8/8 入1台(SY-#4889)
9/11 入1台(SY-#4940)
9/20 入1台(SY-#5015)加厚
9/20 入1台(SY-#4940)
10/9 入1台(SY-#4940-換)
11/11 入1台(SY-#5138)
11/18 入1台(SY-#5138)
12/12 入1台(SY-#5165)
12/13 入2台(SY-#5165)
guang:
25/1/2 入1台(SY-#5247)
1/2 入1台(SY-#5287)
1/2 入1台(SY-#5323)
2/14 入1台(SY-#5442)
4/15 入1台(SY-#5442)
4/16 入1台(SY-#5442)
26/1/9 入2台(SY-#6128)</t>
      </text>
    </comment>
    <comment ref="D5" authorId="0" shapeId="0">
      <text>
        <t xml:space="preserve">guang:
21/7/29 W1*1 OK(408-1336)
8/17 W1*1 OK(408-1434)
8/25 W1*1 OK(408-1484)
9/23 W1*1 OK(408-1668)
9/24 W1*1 OK(408-1668)
10/23 W1*1 OK(813-1750)
10/26 W1*1 OK(813-1750)
11/12 W1*1 OK(409-1912)(NEW)-NG
11/13 W1*1 OK(409-1912)(NEW)-NG
11/22 W1*1 OK(409-1911)
11/25 W1*1 OK(409-1912)(補)
11/26 W1*1 OK(410-1912)(補)
11/29 W1*1 OK(410-1911)
12/14 W1*1 OK(408-1750)(補件)
12/30 W1*1 OK(408-1912)(2-補)
22/1/6 W1*1 OK(408-1911)(補件)
1/13 W1*1 OK(409-1911)(補件)
1/14 W1*1 OK(409-2164)
1/15 W1*1 OK(409-2164)
1/18 W1*1 OK(409-2182)
2/8 W1*1 OK(409-2229)
2/9 W1*1 OK(409-2229)
2/14 W1*1 OK(409-2249)
2/15 W1*1 OK(409-2249)
2/21 W1*1 OK(409-2083)
2/23 W1*1 OK(409-2083)
3/29 W1*1 OK(409-#2486)
4/8 W1*1 OK(409-#2486)
4/15 W1*1 OK(409-#2189)
4/18 W1*1 OK(409-#2418)
4/19 W1*1 OK(409-#2418)
4/20 W1*1 OK(409-#2459)
4/21 W1*1 OK(409-#2459)
6/1 W1*1 OK(409-#2786)
8/3 W1*1 OK(813-#2418-換)
23/7/13 W1*1 OK(409-#3638)
24/1/25 W1*1 OK(409-#4250)
1/30 W1*1 OK(409-#4250)
4/20 W1*1 OK(409-#4471)
5/6 W1*1 OK(409-#4532)
7/2 W1*1 OK(409-#4532-換)
8/1 W1*1 OK(409-#4835)
8/13 W1*1 OK(409-#4889)
9/20 W1*1 OK(410-#4940)
9/25 W1*1 OK(813-#4940)
9/27 W1*1 OK(813-#5015)-加厚
11/16 W1*1 OK(409-#4940-換)
11/20 W1*1 OK(409-#5138)
11/22 W1*1 OK(409-#5138)
12/17 W1*1 OK(813-#5165)
12/19 W1*1 OK(813-#5165)
12/26 W1*1 OK(813-#5165)
25/2/7 W1*1 OK(409-#5323)
2/14 W1*1 OK(409-#5247)
2/15 W1*1 OK(409-#5287)
3/7 W1*1 OK(409-#5442)
4/24 W1*1 OK(409-#5442)
4/26 W1*1 OK(409-#5442)
</t>
      </text>
    </comment>
    <comment ref="E5" authorId="0" shapeId="0">
      <text>
        <t xml:space="preserve">guang:
21/8/4 W2*1 OK(411-1336)
8/20 W2*1 OK(411-1434)
9/1 W2*1 OK(411-1484)
9/27 W2*1 OK(411-1668)
9/30 W2*1 OK(411-1668)
10/28 W2*1 OK(411-1750)
10/29 W2*1 NG(411-1750)
11/10 出1台(HA21102501-#1750-永棧載回)
11/18 出2台(HA21111201,HA21111301-#1912*2-永棧載回-正面砂孔)
12/2 W2*1 OK(411-1912)
12/3 W2*1 NG(411-1912-HA21112501)
12/6 出1台(HA21112501-#1912*1(補件)-永棧載回-正面砂孔)
12/7 W2*1 NG(411-#1911-HA21112901)
12/15 W2*1 OK(411-1750-補件)
12/21 出2台(HA21112201，HA21112901-#1911*2-永棧載回-正面砂孔)
22/1/3 W2*1 OK(411-1912)(補2)
1/10 W2*1 OK(411-1911)(補)
1/18 W2*1 OK(351-1911)(補)
1/20 W2*1 OK(351-2164)
1/22 W2*1 OK(411-2164)
2/11 W2*1 OK(411-2182)
2/14 W2*1 OK(411-2229)
2/21 W2*1 OK(411-2229)
2/23 W2*1 OK(411-2249)
2/25 W2*1 OK(411-2249)
3/2 W2*1 OK(411-2083)
3/7 W2*1 NG(411-2083)(正面砂孔-YK)-QC允收
4/7 W2*1 OK(411-#2486)
4/20 W2*1 OK(411-#2486)
4/22 W2*1 OK(411-#2189)
4/27 W2*1 OK(411-#2418)
5/5 W2*1 OK(411-#2459)
5/10 W2*1 OK(411-#2459)
6/10 W2*1 OK(411-#2786)
8/8 W2*1 OK(411-#2418-換)
23/7/26 W2*1 OK(411-#3638)
24/1/30 W2*1 OK(411-#4250)
2/24 W2*1 OK(411-#4250)
4/25 W2*1 OK(411-#4471)
7/5 W2*1 OK(411-#4532)
8/6 W2*1 OK(411-#4835)
8/19 W2*1 OK(411-#4889)
10/19 W2*1 OK(411-#4940)
10/22 W2*1 OK(411-#4940)
11/16 W2*1 OK(411-#5015)
11/21 W2*1 OK(411-#4940-換)
11/24 W2*1 OK(411-#5138)
11/28 W2*1 OK(411-#5138)
12/25 W2*1 OK(411-#5165)
12/27 W2*1 OK(411-#5165)
1/3 W2*1 OK(411-#5165)
2/17 W2*1 OK(411-#5323)
2/21 W2*1 OK(411-#5247)
2/26 W2*1 OK(411-#5287)
3/14 W2*1 OK(411-#5442)
4/30 W2*1 OK(409-#5442)
5/8 W2*1 OK(409-#5442)
</t>
      </text>
    </comment>
    <comment ref="H5" authorId="0" shapeId="0">
      <text>
        <t>guang:
21/8/5 W3*1 OK(648-1336)
8/12 出1台(三廠-HA21072901-100000735-000400001336)
8/24 W3*1 OK(648-1434)
8/25 出1台(三廠-HA21081701-100000737-000400001434)
9/2 W3*1 OK(648-1484)
9/3 出1台(三廠-HA21082501-100000908-000400001484)
9/28 W3*1 OK(648-1668)
10/4 W3*1 OK(648-1668)
10/28 出1台(三廠-HA21092401-100000960-000400001668)
10/28 W3*1 OK(648-1750)
11/12 出1台(本廠-HA21102301-100000979-000400001750)
11/19 出1台(本廠-HA21092301-100001225-000400001668)
12/3 W3*1 OK(648-1912)
12/6 出1台(三廠-HA21112601-100001117-000400001912)
12/16 W3*1 OK(648-1750-補件)
12/17 出1台(三廠-HA21121301-100001049-000400001750)
22/1/6 W3*1 OK(648-1912-補件)
1/7 出1台(本廠-HA21123001-100001424-000400001912)
1/10 W3*1 OK(648-1911-補件)
1/20 W3*1 OK(648-1911-補件)
1/21 W3*1 OK(648-2164)
1/24 W3*1 OK(648-2164)
1/25 出1台(本廠-HA22011501-100001467-000400002164)
2/7 出1台(三廠-HA22011401-100001116-000400002164)
2/14 W3*1 OK(648-2182)
2/15 W3*1 OK(648-2229)
2/22 W3*1 OK(648-2229)
2/25 W3*1 OK(648-2249)
3/1 W3*1 OK(648-2249)
3/2 W3*1 OK(648-2083)
3/9 出1台(本廠-HA22011801-100001417-000400002182)
3/18 出1台(三廠-HA22020901-100001578-000400002229)
3/23 W3*1 OK(648-2083)
3/24 出1台(三廠-HA22010601-100001579-000400001911)
4/6 出1台(本廠-HA21121801-100001544-000400002083)
4/12 W3*1 OK(648-2486)
4/18 出1台(本廠-HA22011301-100001599-000400002189-#1911-送磨)
4/21 出1台(本廠-HA22032901-100001516-000400002486)
4/22 W3*1 OK(648-#2486)
4/26 W3*1 OK(648-#2189)
4/28 W3*1 OK(648-#2418)
5/10 W3*1 OK(648-#2459)
5/11 W3*1 OK(648-#2459)
5/17 出1台(本廠-HA22040801-100001308-000400002486)
5/27 出1台(本廠-HA22020801-100001787-000400002229)
6/14 W3*1 OK(648-#2786)
10/13 出1台(本廠-HA22060101-100001788-000400002786)
10/13 出1台(三廠-HA22042001-100002057-000400002459)
8/15 W3*1 OK(648-#2418)
23/1/16 出1台(本廠-HA22041801-100002157-000400002418)
2/22 出1台(本廠-HA22041501-100002248-000400001911)
3/6 出1台(三廠-HA22042101-100002260-000400002459)
4/27 出1台(本廠-HA22080301-100002359-000400002418)
7/24 出1台(本廠-HA22021401-100002467-000400002249)
7/31 W3*1 OK(648-#3638-2990L過切5mm)
8/3 出1台(本廠-HA22021501-100002460-000400002249)+100H
12/4 出1台(本廠-HA23071301-100002574-000400003638)+200H
guang:
24/2/6 W3*1 OK(648-#4250)
2/21 W3*1 OK(648-#4250)
2/27 出1台(本廠-HA24012501-100002716-000400004250)
5/6 W3*1 OK(648-#4471)
5/14 出1台(本廠-HA24013001-100002774-000400004250)
7/4 出1台(本廠-HA24042001-100002885-000400004471)
7/16 W3*1 OK(648-#4532)
8/7 W3*1 OK(648-#4835)
8/16 出1台(本廠-HA24080101-100002945-000400004835)
8/21 W3*1 OK(648-#4889)(SY)
8/21 出1台(本廠-HA24070201-100002885-000400004532-補#4471砂孔)
guang:
9/4 入1台(YK-大陸加工-#4962)
10/21 W3*1 OK(648-#4940)(SY)
10/22 出1台(台典研-大陸加工-100003033-000400004962)
10/22 出1台(本廠-HA24092001-100002945-000400004940-換#4835異音)
10/23 W3*1 OK(648-#4940)(SY)
10/23 退1台(加工課-HA24092001-100002945-000400004940-換#4835異音)
10/23 出1台(本廠-HA24092501-100002945-000400004940-換#4835異音)
11/21 W3*1 OK(648-#5015)-加厚
11/22 W3*1 OK(648-#4940-換)
11/26 出1台(本廠-HA24092701-100003038-000400005105)
11/27 W3*1 OK(648-#5138)
11/29 W3*1 OK(648-#5138)
12/3 出1台(本廠-HA24111601-100003039-000400004940-補件)委修單:600002040
12/10 出1台(本廠-HA24112201-100003072-000400005138)
25/1/6 出1台(本廠-HA24112001-100003061-000400005138)
1/6 W3*2 OK(648-#5165)
1/7 W3*1 OK(648-#5165)
001289:
25/1/21 出1台(本廠-HA24122601-100003091-000400005165)
2/4 出1台(三廠-HA24121701-100003062-000400005165)
2/7 出1台(本廠-HA24121901-100003104-000400005165)
2/19 W3*1 OK(648-#5323)
2/24 出1台(本廠-HA25020701-100003187-000400005323)
3/4 W3*1 OK(648-#5247)
3/5 W3*1 OK(648-#5287)
3/18 出1台(本廠-HA25021501-100003090-000400005287)
3/17 W3*1 OK(648-#5442)
5/14 W3*1 OK(648-#5442)
5/19 W3*1 OK(648-#5442)
5/28 出1台(本廠-HA25030701-100003293-000400005247)(跟5442交換鑄件)(特殊送研磨)
10/23 出1台(本廠-HA25042401-100003408-000400005442)
12/4 出1台(本廠-HA25021401-100003464-000400005442)</t>
      </text>
    </comment>
    <comment ref="L5" authorId="0" shapeId="0">
      <text>
        <t xml:space="preserve">guang:
3/7 W2*1 NG(411-2083)(正面砂孔-YK)
-QC要補救
guang:
22/4/29 NG(411-HA22041901-#2418-LD-T溝破孔)
7/11 出*1 NG(永棧載回-HA22041901-#2418)
24/5/9 NG(411-正面砂孔-#4532-LD)
5/22 出*1 NG(永棧載回-HA24050601-#4532)
guang:
24/11/8 出1台(SY-HA24092001-#4940)
</t>
      </text>
    </comment>
    <comment ref="C6" authorId="0" shapeId="0">
      <text>
        <t xml:space="preserve">guang:
4/28 入1台(YZ)
5/15 入1台(YZ)
7/4 入1台(YZ)(new)
7/12 入1台(YZ)(new)
8/11 入1台(YZ)(new)
9/6 入1台(YZ)(new)
10/23 入1台(YZ)(new)
10/30 入1台(YZ)(new)
5/25 入1台(YZ)(new)
6/12 入1台(YZ)(NEW)
9/26 入1台(YZ)(NEW)
5/17 入1台(YZ)(NEW)
6/18 入1台(YZ)(NEW)
</t>
      </text>
    </comment>
    <comment ref="D6" authorId="0" shapeId="0">
      <text>
        <t xml:space="preserve">guang:
5/09 W1*1 OK(408)
5/24 W1*1 OK(408)
7/6W1*1OK(408)(new)
9/13W1*1OK(408)new
10/17W1*1OK(408)new
11/17W1*1OK(523)new
11/18W1*1OK(523)new
12/4W1*1OK(523)new
6/29 W1*1OK(408)(new)
9/12 W1*1OK(408)(new)
10/16 W1*1OK(408)(new)
5/29 W1*1OK(408)(new)
6/20 W1*1OK(408)
</t>
      </text>
    </comment>
    <comment ref="E6" authorId="1" shapeId="0">
      <text>
        <t xml:space="preserve">Ralf:
5/25 W2*1OK(411)
5/26 W2*1OK(411)
7/17 W2*1OK(411)
9/13 W2*1OK(411)
10/20 W2*1OK(411)
11/23 W2*1OK(411)
11/23 W2*1OK(410)
12/12 W2*1OK(410)
7/3 W2*1OK(411)
10/2 W2*1OK(411)
10/19 W2*1OK(411)
6/4 W2*1OK(351)
7/4 W2*1OK(351)
</t>
      </text>
    </comment>
    <comment ref="H6" authorId="1" shapeId="0">
      <text>
        <t xml:space="preserve">ralf:
4/18 出一台(本廠)
guang:
6/1 W3*1 OK(648)
6/2 W3*1 OK(648)
6/2 出一台(本廠)
6/6 出一台(本廠)
7/18 W3*1 OK(648)
7/19 出一台(本廠)
9/15 W3*1 OK(648)
9/18 出一台(本廠)
10/23 W3*1 OK(648)
11/8 出1台(本廠)
11/24 W3*2 OK(648)
12/8 出1台(本廠)
12/14 W3*1 OK(648)
6/8 出1台(本廠)
7/5 W3*1 OK(648)
7/25 出2台(本廠)
10/3 W3*1 OK(648)
11/20 W3*1 OK(648)
1/28 出1台(本廠-HA18091302)
5/20 出1台(本廠-HA18101502)
6/5 W3*1 OK(648)
6/10 出1台(本廠-HA19052901)
7/9 W3*1 OK(648)
guang:
22/6/20 機展退回*1(生鏽重磨-台典)
7/11 出1台(本廠-HA19052901-重出-100000133)
guang:
25/1/13 出1台(三廠-HA19062001-100002935-#4158)
</t>
      </text>
    </comment>
    <comment ref="C7" authorId="0" shapeId="0">
      <text>
        <t xml:space="preserve">guang:
1/5入1台YZ
3/13入1台(YZ)
4/24 入1台(YZ)
6/26 入1台(YZ)(new)
11/30 入1台(YZ)(new)
12/20 入1台(YZ)(new)
1/02 入1台(YZ)(new)
3/13 入1台(YZ)(new)
4/19 入1台(YZ)(new)
5/2 入1台(YZ)(new)
5/18 入1台(YZ)(new)
6/11 入1台(YZ)(new)
6/14 入1台(YZ)(new)
7/10 入1台(YZ)(new)
10/16 入1台(YZ)(new)
11/7 入3台(YZ)(new)
11/26 入2台(YZ)(換*1)
11/30 入1台(YZ)
11/13 入2台(YZ)(new)
11/15 入2台(YZ)(new)
21/4/7 入1台(YZ)
5/5 入1台(YZ)
7/12 入1台(YZ)
12/21 入1台(YZ-2080)
22/1/3 入1台(YZ-2080)補
1/13 入1台(YZ-2080)補2
1/19 入1台(YZ)
2/8 入1台(YZ-2255)
3/21 入1台(YZ-2485)
3/29 入1台(YZ-#2543)
4/1 入1台(YZ-#2563)
4/21 入1台(LD-#2613)
6/20 入1台(LD-#2879)
7/27 入1台(LD-#2879-換)
001289:
12/1 入1台(LD-#3254-特殊填滿)
23/4/24 入1台(LD-#3492)
</t>
      </text>
    </comment>
    <comment ref="D7" authorId="0" shapeId="0">
      <text>
        <t xml:space="preserve">guang:
5/23 W1*1 OK(408)
6/9 W1*1 OK(408)
7/6 W1*1 OK(408)
12/13 W1*1 OK(523)
12/30 W1*1 OK(523)
1/31 W1*1 OK(408)
3/16 W1*1 OK(408)
4/25 W1*1 OK(408)
5/14 W1*1 OK(408)
5/30 W1*1 OK(408)
7/19 W1*2 OK(408)
7/20 W1*1 OK(408)
10/29 W1*1 OK(408)
10/30 W1*1 OK(408)
11/19 W1*1 OK(408)
11/20 W1*1 (408)
11/22 W1*1 (408)
12/21 W1*1 (408)
2/24 W1*1 (408)
21/4/20 W1*1 (408)
5/7 W1*1 (408)
7/28 W1*1 (408-1333)
12/27 W1*1 (408-2080)
22/1/7 W1*1 (408-2080)補件
1/14 W1*1 (813-2080)補件2
1/21 W1*1 (409-2080-插)
2/11 W1*1 (409-2255)
3/23 W1*1 (813-2485)
4/2 W1*1 (409-2543)
4/6 W1*1 (409-2563)
5/7 W1*1 (813-#2613)
6/22 W1*1 (409-#2879)
8/5 W1*1 (409-#2879-換)
001289:
12/2 W1*1(813-#3254)
23/5/4 W1*1 OK(813-#3492)
</t>
      </text>
    </comment>
    <comment ref="E7" authorId="0" shapeId="0">
      <text>
        <t xml:space="preserve">guang:
6/2 W2*1 OK(411)
6/26 W2*1 OK(411)
8/30 W2*1 OK(411)
12/27 W2*1 OK(351)
1/10 W2*1 OK(410)
2/24 W2*1 OK(410)
3/23 W2*1 OK(411)
4/27 W2*1 OK(351)
5/16 W2*1 OK(351)
6/1 W2*1 OK(411)
7/21 W2*1 OK(351)
7/24 W2*1 OK(351)
7/27 W2*1 OK(351)
11/2 W2*1 OK(411)
11/19 W2*1 砂孔(411)
11/22 W2*1 OK(411)
11/26 載回*1
11/26 W2*1 OK(411)
11/28 W2*1 OK(411)
12/21 W2*1 OK(409)
12/24 W2*1 OK(409)
12/26 W2*1 OK(409)
6/18 W2*1 OK(411)
6/23 W2*1 OK(411)
10/16 W2*1 OK(351)
10/21 W2*1 OK(351)
21/4/23 W2*1 OK(411)
5/11 W2*1 OK(411)
8/2 W2*1 OK(411-1333)
22/1/3 出1台 (正面砂孔-2080-永棧)
1/10 W2*1 NG(411-2080-補)
1/13 出1台 (正面砂孔-2080-永棧2)
1/18 W2*1 OK(411-2080-補2)
1/25 W2*1 OK(411-2080-插)
2/17 W2*1 OK(411-2255)
3/31 W2*1 OK(351-#2485)
4/11 W2*1 OK(411-#2543)
4/14 W2*1 OK(411-#2563)
5/13 W2*1 OK(411-#2613)
8/15 W2*1 OK(411-#2879)
001289:
12/8 W2*1 OK(411-#3254)
23/5/4 W2*1 OK(411-#3492)
</t>
      </text>
    </comment>
    <comment ref="H7" authorId="0" shapeId="0">
      <text>
        <t>guang:
21/2/5 出1台(6路-HA20022401-100000248)
3/4 出1台(6路-HA20030201-100000216)
3/23 出1台(6路-HA20092901-100000425)
3/24 出1台(3廠-HA18120601-100000298)
4/9 出1台(3廠-HA18120701-100000485)
4/27 W3*1 OK(648-000400000523)
5/6 出1台(6路-HA21042001-100000395-000400000523)
5/6 出1台(6路-HA18122101-100000396-000400000523)
5/13 W3*1 OK(648-000400000789)
8/4 W3*1 OK(648-000400001333)
9/13 出1台(3廠-HA21072801-100000941-000400001333)
22/1/4 出1台(本廠-HA21050701-100001266-000400000789)
1/18 W3*1 OK(648-000400002080)
1/19 出1台(3廠-HA22011401-100001267-000400002080)
1/26 W3*1 OK(648-000400002080-插)
1/26 出1台(3廠-HA22012101-100000902-000400002080-插)
2/18 W3*1 OK(648-#2255)
3/29 出1台(3廠-HA22021101-100001656-000400002255)
4/6 W3*1 OK(648-#2485)
4/14 W3*1 OK(648-#2543)
4/15 W3*1 OK(648-#2563)
4/25 出1台(3廠-HA22040201-100001436-000400002563)
5/11 出1台(3廠-HA22040601-100001437-000400002543)
5/19 W3*1 OK(648-#2613)
8/16 W3*1 OK(648-#2879)
001289:
12/9 W3*1 OK(648-#3254)
23/1/4 出1台(3廠-HA22120201-100002087-000400003254)
3/16 出1台(3廠-HA22032301-100002292-000400002485)
5/4 W3*1 OK(648-#3492)
4/22 出1台(本廠-HA23042601-100002782-000400003492)
guang:
25/3/24 出1台(3廠-HA22080501-100003244-000400002879)
10/23 出1台(本廠-HA22050701-100003406-000400002613)</t>
      </text>
    </comment>
    <comment ref="L7" authorId="0" shapeId="0">
      <text>
        <t xml:space="preserve">guang:
入*1(本廠退回)溝平行度不良
guang:
22/1/21 出1台(永棧載回)-HA17123001
guang:
7/5 W2*1 NG(HA22062201-#2879)
7/11 出1台(永棧載回-HA22062201-#2879)
</t>
      </text>
    </comment>
    <comment ref="C8" authorId="0" shapeId="0">
      <text>
        <t xml:space="preserve">guang:
23/11/21 入1台(LD-#4061)
</t>
      </text>
    </comment>
    <comment ref="D8" authorId="0" shapeId="0">
      <text>
        <t xml:space="preserve">guang:
23/12/5 W1*1 OK(813-#4061)
</t>
      </text>
    </comment>
    <comment ref="E8" authorId="0" shapeId="0">
      <text>
        <t xml:space="preserve">guang:
23/12/11 W2*1 OK(411-#4061)
</t>
      </text>
    </comment>
    <comment ref="H8" authorId="0" shapeId="0">
      <text>
        <t>guang:
23/12/13 W3*1 OK(648-#4061)
guang:
24/1/4 出1台(本廠-10000 -#4061)</t>
      </text>
    </comment>
    <comment ref="C9" authorId="0" shapeId="0">
      <text>
        <t xml:space="preserve">guang:
4/21 入1台(JS)
4/28 入1台(JS)
5/4 入1台(JS)
5/5 入1台(YJF)
6/01 入2台(YJF)
ralf:
6/12有兩塊為甲聖鑄件
guang:
6/15 入2台(YJF)
7/27 入1台(JS)(NEW)
8/4 入1台(JS)(NEW)
8/8 入1台(YJF)
8/18 入1台(JS)(NEW)
8/21 入3台(YJF)(OLD)
8/25 入1台(JS)(new)換
9/4 入3台(YJF)
9/6 入1台(JS)(NEW)
9/19 入2台(YJF)(OLD)
12/7 入1台(JS)(NEW)
5/24 入2台(YJF)(NEW)
6/19 入3台(YJF)(NEW)
6/20入2台(YJF)(NEW)
6/22 入1台(YJF)(NEW)
7/16 入1台(JS)(NEW)
7/20 入1台(JS)(NEW)
8/1 入1台(JS)(NEW)
9/12 入2台(YJF)(NEW)
11/28入1台(YJF)(填滿)
1/9入1台(YJF)(填滿)
2/19 入1台(JS)(NEW)
2/21 入2台(YJF)(NEW)
2/26 入1台(JS)(NEW)
2/27 入3台(YJF)(NEW)
4/15 入2台(YJF)(NEW-1台補件)
4/23 入1台(YJF)(NEW)
5/13 入2台(YJF)(NEW)
6/18 入1台(JS)(NEW)(線軌面待處理)
6/28 入2台(YJF)(NEW)
7/1 入2台(YJF)(NEW)
long:
7/24 入1台(JS)
8/6 入1台(JS)
guang:
8/12 入1台(JS)
8/22 入2台(YJF)(NEW)
2/24 入2台(JS)
3/4 入1台(JS)
3/6 入1台(YJF)(NEW)
3/9 入2台(YJF)(NEW)
3/11 入1台(YJF)(NEW)
3/30 入1台(JS)
4/13 入1台(JS)
4/17 入1台(JS)
4/20 入1台(JS)
4/30 入1台(JS)
11/27 入1台(YJF)(NEW)
21/2/2 入1台(YJF)(NEW)
2/18 入1台(YJF)(NEW)
3/17 入2台(JS)
4/8 入2台(JS)
4/16 入1台(JS)
4/21 入1台(JS)
5/11 入1台(YJF)(填滿)-#248
5/19 入1台(YJF)(填滿)-#248
5/21 入1台(YJF)(填滿)-#248
6/23 入1台(YJF)(NEW)
6/29 入2台(YJF)(NEW)
6/30 入2台(YJF)(NEW)
8/27 入1台(YJF)(NEW)
9/9 入1台(YJF)(NEW)
guang:
9/28 入1台(YJF)(特殊-配181機號，國瑩)
23/4/26 入1台(YJF-#3497)
5/11 入1台(YJF-#3541)
6/21 入1台(JS-#3590)
6/28 入1台(JS-#3590)
7/13 入1台(YJF-#3686)
8/1 入1台(YJF-#3741)
12/7 入2台(YJF-#4104)
24/2/23 入1台(YJF-#4334)
2/23 入1台(YJF-#4342)
2/29 出1台(YJF-#4334-報廢-扭曲10mm)
4/29 入1台(YJF-#4334-換)
5/15 入1台(YJF-#4608)
5/27 入1台(YJF-#4660)
6/3 入1台(YJF-#4660)
8/2 入1台(YJF-#4863)
8/27 入1台(YJF-#4863-換)
10/4 入1台(YJF-#4946)
11/19 入1台(YJF-#5180)
25/6/6 入1台(YJF-#5799)
</t>
      </text>
    </comment>
    <comment ref="D9" authorId="0" shapeId="0">
      <text>
        <t xml:space="preserve">
guang:
6/19 W1 OK*1(408)
6/20 W1 OK*1(408)
6/28 W1 OK*1(408)
7/5 W1 OK*1(408)
10/2 W1 OK*1(408)
10/3 W1 OK*1(408)
10/5 W1 OK*1(408)
10/6 W1 OK*1(408)
10/7 W1 OK*1(408)
10/11 W1 OK*1(408)
10/23 W1 OK*1(408)
10/27 W1 OK*1(408)
10/30 W1 OK*1(408)
11/6 W1 OK*1(523)
11/7 W1 OK*1(523)
11/8 W1 OK*1(523)
11/9 W1 OK*1(523)(新)
12/6 W1 OK*1(523)(新)
12/7 W1 OK*1(523)(新)
12/26 W1 OK*1(523)
1/8 W1*1 OK(408)
6/1 W1*2 OK(408)
7/10 W1*1 OK(408)(AHC-331)
8/2 W1*1 OK(408)
8/3 W1*1 OK(408)
8/4 W1*1 OK(408)
8/17 W1*1 OK(408)
8/20 W1*1 OK(408)
8/21 W1*1 OK(408)
9/10 W1*1 OK(408)
9/11 W1*1 OK(408)
9/12 W1*1 OK(408)
12/3 W1*1 OK(408-填滿-X-22T)
12/24 W1*1 OK(408)
12/25 W1*1 OK(408)
1/10 W1*1 OK(408-填滿)
2/20 W1*1 OK(408)
2/28 W1*1 OK(408)
3/4 W1*1 OK(408)
3/5 W1*1 OK(408)
3/8 W1*1 OK(408)
3/9 W1*1 OK(408)
3/11 W1*1 OK(408)
4/17 W1*1 OK(408)
4/18 W1*1 OK(408)
4/30 W1*1 OK(408)
5/24 W1*1 OK(408)
5/27 W1*1 OK(408)
6/24 W1*1 OK(408)
7/4 W1*1 OK(408)
7/8 W1*1 OK(408)
7/9 W1*1 OK(408)
7/10 W1*1 OK(408)
long:
7/26 W1*1 OK(408)
guang:
8/12 W1*1 OK(408)
8/15 W1*1 OK(408)
11/28 W1*1 OK(408)
12/3 W1*1 OK(408)
3/5 W1*1 OK(408)
3/7 W1*1 OK(408)
5/28 W1*1 OK(813)
6/5 W1*1 OK(408)
6/11 W1*1 OK(408)
7/21 W1*1 OK(408)
7/23 W1*1 OK(408)
7/27 W1*1 OK(408)
8/17 W1*1 OK(409)
8/25 W1*1 OK(409)
9/16 W1*1 OK(408)
9/18 W1*1 OK(408)
12/10 W1*1 OK(408)
21/2/8 W1*1 OK(408)
2/22 W1*1 OK(408)
3/19 W1*1 OK(408)
3/22 W1*1 OK(408)
4/12 W1*1 OK(408)
4/13 W1*1 OK(408)
6/9 W1*1 OK(408)
6/10 W1*1 OK(408)
9/6 W1*1 OK(408-184)
9/8 W1*1 OK(408-382)
9/11 W1*1 OK(408-382)
10/5 W1*1 OK(408-1722-國盈)
22/3/11 W1*1 OK(408-1181)
3/15 W1*1 OK(408-1538)
4/22 W1*1 OK(409-1624)
5/31 W1*1 OK(409-#2813)
11/21 W1*1 OK(409-#248)
23/3/22 W1*1 OK(813-#248)
3/28 W1*1 OK(409-#248)
5/3 W1*1 OK(409-#3497)
5/30 W1*1 OK(409-#3541)
6/29 W1*1 OK(813-#3590)
7/11 W1*1 OK(409-#3590)
7/20 W1*1 OK(409-#3686)
8/15 W1*1 OK(813-#3741)
12/22 W1*1 OK(409-#4104)
24/3/27 W1*1 OK(813-#4342)
5/16 W1*1 OK(409-#4334-換)
5/23 W1*1 OK(409-#4608)
7/5 W1*1 OK(409-#4660)
7/9 W1*1 OK(409-#4660)
9/11 W1*1 OK(410-#4863)
10/16 W1*1 OK(410-#4946)
12/2 W1*1 OK(813-#5180)
25/6/23 W1*1 OK(813-#5799)
</t>
      </text>
    </comment>
    <comment ref="E9" authorId="1" shapeId="0">
      <text>
        <t xml:space="preserve">ralf:
4/6 W2*1 OK (411)
4/15 W2-1 ok(411)
5/8 W2*1 OK(411)
6/7 W2*1 OK(411)
6/9 W2*1 OK(411)
6/29 W2*1 OK(351)
7/4 W2*1 OK(351)
7/6 W2*1 OK(351)
8/16 W2*1 OK(411)
8/18 W2*1 OK(411)
8/22 W2*1 OK(411)
10/5 W2*1 OK(351)
10/12 W2*1 OK(351)(未完)
10/12 W2*1 OK(411)(T28)
10/13 W2*1 OK(410)
10/16 W2*1 OK(411)
10/17 W2*1 OK(351)
11/1 W2*1 OK(410)
11/4 W2*1 OK(410)
11/09 W2*1 OK(410)
11/10 W2*1 OK(351)
11/15 W2*1 OK(411)
11/20 W2*1 OK(410)
11/22 W2*1 OK(351)
12/20 W2*1 OK(351)
12/25 W2*1 OK(351)
3/15 W2*1 OK(410)
3/19 W2*1 OK(410)
6/6 W2*1 OK(411)
6/8 W2*1 OK(411)
7/12 W2*1 OK(411)(AHC-331)
8/7 W2*1 OK(411)(T28)
8/9 W2*1 OK(351)
8/11 W2*1 OK(351)
8/22 W2*1 OK(351)
8/22 W2*1 OK(411)
8/24 W2*1 OK(351)
9/20 W2*1 OK(351)
9/26 W2*1 OK(351)
9/28 W2*1 OK(351)
12/10 W2*1 OK(410-填滿-X-22T)
1/2 W2*1 OK(410)
1/4 W2*1 OK(410)
1/15 W2*1 OK(410-填滿-22T)
2/23 W2*1 OK(411)
3/6 W2*1 OK(411)
3/8 W2*1 OK(351)
3/8 W2*1 OK(411)
3/13 W2*1 OK(411-T28)
3/18 W2*1 OK(411)
3/20 W2*1 OK(411)
4/22 W2*1 OK(411)
4/26 W2*1 OK(411)
5/8 W2*1 OK(351)
5/31 W2*1 OK(411)
6/10 W2*1 OK(411-T28)
6/28 W2*1 OK(411)
7/11 W2*1 OK(351)
7/12 W2*1 OK(411)
7/17 W2*1 OK(411)
7/22 W2*1 OK(351)
8/1 W2*1 OK(411)
8/20 W2*1 OK(411)
8/27 W2*1 OK(411)
1/6 W2*1 OK(351)
1/10 W2*1 OK(351)
3/10 W2*1 OK(351)
4/7 W2*1 OK(411)
6/5 W2*1 OK(351)
6/11 W2*1 OK(351)
6/18 W2*1 OK(351)
8/7 W2*1 OK(351)
8/12 W2*1 OK(351)
8/18 W2*1 OK(351)
8/25 W2*1 OK(351)
9/1 W2*1 OK(351)
9/24 W2*1 OK(411)
9/30 W2*1 OK(411)
12/24 W2*1 OK(411)
21/2/26 W2*1 OK(351)
3/29 W2*1 OK(411)
4/6 W2*1 OK(411)
4/15 W2*1 OK(411)
4/20 W2*1 OK(411)
7/8 W2*1 OK(411-000400000184)
7/17 W2*1 OK(411-000400000184)
9/11 W2*1 OK(351-000400000184)
9/16 W2*1 OK(351-000400000382)
9/22 W2*1 OK(351-000400000382)
10/12 W2*1 OK(411-1722-國盈)
22/3/21 W2*1 OK(351-000400001181)
3/24 W2*1 OK(351-000400001538)
5/3 W2*1 OK(351-000400001624)
6/17 W2*1 OK(351-000400002813)
23/2/6 W2*1 OK(351-000400000248)
3/31 W2*1 OK(411-000400000248)
4/11 W2*1 OK(411-000400000248)
5/11 W2*1 OK(411-000400003497)
6/14 W2*1 OK(411-000400003541)
7/6 W2*1 OK(411-000400003590)
7/19 W2*1 OK(411-000400003590)
7/19 W2*1 OK(411-000400003686)
8/23 W2*1 OK(411-000400003741)
12/29 W2*1 OK(411-000400004104)
12/29 W2*1 OK(411-000400004104)
24/3/20 W2*1 OK(411-000400004342)
5/29 W2*1 OK(411-000400004334)
6/6 W2*1 OK(411-000400004608)
7/15 W2*1 OK(411-000400004660)
7/19 W2*1 OK(411-000400004660)
9/11 W2*1 OK(411-000400004863)
11/4 W2*1 OK(411-000400004946)
12/10 W2*1 OK(411-000400005180)
25/06/28 W2*1 OK(411-000400005799)
hsinwei:
</t>
      </text>
    </comment>
    <comment ref="H9" authorId="0" shapeId="0">
      <text>
        <t>guang:
5/5 出一台(三廠)
5/15 W3*1 OK(648)
5/19 出一台(三廠)
5/23 出一台(三廠)
6/5 出1台(3廠)(甲聖-問題鑄件)
6/8 W3*1 OK(648)
6/8 出一台(三廠)
6/12 W3*1 OK(648)
6/14 出一台(三廠)
6/29 W3*1 OK(648)
7/7 W3*1 OK(648)
7/10 W3*1 OK(648)
7/20 出一台(三廠)
7/26 出一台(三廠)
7/27 出一台(三廠)
8/17 W3*1 OK(648)
8/22 W3*1 OK(648)
8/24 W3*1 OK(648)
9/18 出一台(三廠)
9/27 出一台(三廠)
10/13 W3*1 OK(648)
10/13 W3*1 OK(648-T28)
10/16 出一台(T28-台典研)
10/16 W3*1 OK(648)
10/17 W3*1 OK(648)
10/18 W3*1 OK(648)
10/27 出1台(三廠)
11/6 W3*1 OK(648)
11/8 W3*1 OK(648)
11/20 W3*1 OK(648)
11/22 W3*1 OK(648)
11/28 W3*2 OK(648)
11/29 W3*1 OK(648)
12/25 W3*1 OK(648)
12/27 W3*1 OK(648)
1/5 出1台(三廠)
1/16 出1台(三廠)
1/29 出1台(三廠)
2/12 出1台(三廠)
2/14 出1台(三廠)
3/9 出1台(三廠)
3/20 W3*1 OK(648)
3/21 W3*1 OK(648)
4/16 出1台(三廠)
4/25 出1台(三廠)
6/5 出1台(三廠)
6/11 W3*1 OK(648)
6/12 W3*1 OK(648)(T28)
6/13 出1台(轉台典研)(T28)
6/21 出1台 (三廠)
7/2 出1台 (三廠)
7/13 W3*1 OK(648)(AHC-331)
7/25 出1台 (三廠)(HA18071001-23768)(AHC-331)
8/7 出1台 (三廠)
8/10 W3*1 OK(648)(T28)
8/10 W3*1 OK(648)
8/13 出1台(T28-Y)(轉台典研)(HA18080201)(硬度不足)
8/15 W3*1 OK(648)
8/21 出1台(T28-Y)(轉台典研)(HA17102302)
8/28 W3*1 OK(648)
8/29 W3*2 OK(648)
9/25 W3*1 OK(648)
9/26 W3*1 OK(648)
10/4 出1台 (三廠)(HA18091201)
10/8 W3*1 OK(648)
10/23 出1台 (三廠)(HA18091102)
10/29 出1台 (三廠)(HA17100202)
11/2 出1台 (6路)(HA17101101)
11/14 出1台 (三廠)(HA18082001)
11/17 出1台(T28-Y)(轉台典-HA18081701)
12/5 出1台 (三廠)(HA18091002)
12/10 W3*1 OK(648-填滿-X-22T)
12/11 出1台(T22-X)(轉台典-HA18120301)
1/2 出1台 (6路)(HA18082002)
1/3 W3*1 OK(648)
1/7 W3*1 OK(648)
1/15 W3*1 OK(648-填滿-22T)
1/16 出1台(T22)(轉台典-HA18122801)
1/24 出1台(T28)(轉台典-HA18122501)
1/25 入1台(台典研-HA18080201)
1/28 出1台(台典研-HA18080201)
1/30 出1台 (三廠-HA18122401)
2/12 出1台 (6路-HA18080302)
2/25 W3*1 OK(648)
3/6 W3*1 OK(648)
3/11 W3*1 OK(648)
3/12 W3*1 OK(648)
3/15 W3*1 OK(648-T28)
3/15 出1台 (三廠-HA19022202)
3/15 出1台(台典研-HA19030801-T28)
3/19 W3*1 OK(648)
3/20 W3*1 OK(648)
3/25 出1台 (三廠-HA19022801)
3/27 出2台 (三廠-HA19030901,HA19031101)
4/12 出1台 (轉台典-HA19030501-T28)
4/18 出1台 (6路-HA19030401)
4/25 W3*1 OK(648)
5/2 W3*1 OK(648)
5/10 出1台 (三廠-HA19041801)
5/10 W3*1 OK(648)
6/3 出1台 (三廠-HA19043001)
6/4 W3*1 OK(648)
6/4 出1台 (6路-HA17110602)
6/10 W3*1 OK(648-T28)
6/14 出1台 (轉台典-HA19052701-T28)
6/19 出2台 (三廠-HA19052401,HA18080301)
6/27 出1台 (三廠-HA19041701)
7/4 W3*1 OK(648)
7/22 W3*2 OK(648)
7/24 W3*1 OK(648)
8/5 W3*1 OK(648)
8/20 出1台 (三廠-HA19070901)
8/21 W3*1 OK(648)
8/29 W3*1 OK(648)
8/29 出1台 (三廠-HA19081201)
9/16 出1台 (轉台典-HA19071101-T28)
10/16 出1台 (三廠-HA19070401)
11/19 出1台 (三廠-HA19072601)
11/22 出1台 (三廠-HA19081501)
11/26 出1台 (三廠-HA19070801)
1/8 W3*1 OK(648)
1/21 出1台 (三廠-HA19062401)
1/31 W3*1 OK(648)
2/6 出1台 (三廠-HA19112801)
3/5 出1台 (三廠-HA17102701)
3/11 W3*1 OK(648)
4/7 W3*1 OK(648)
5/25 出1台 (三廠-HA20030701-機號:28101)
6/3 出1台 (本廠-HA20030501-機號:28132)
6/8 W3*1 OK(648)
6/15 W3*1 OK(648)
6/22 W3*1 OK(648)
6/23 出1台 (本廠-HA20060401-機號:27836)
8/10 W3*1 OK(648)
8/14 W3*1 OK(648)
8/21 出1台 (三廠-HA20072701-機號:27877)
8/26 出1台 (本廠-HA20072301-機號:27837)
8/27 W3*1 OK(648)
8/28 W3*1 OK(648)
9/2 W3*1 OK(648)
9/25 W3*1 OK(648)
10/6 W3*1 OK(648)
10/23 出1台 (本廠-HA19120301-機號:27878)
11/5 出1台 (三廠-HA20091801-機號:27912)
11/9 出1台 (三廠-HA20052801-機號:28335)
11/9 出1台 (三廠-HA20061101-機號:28336)
12/3 出1台 (三廠-HA20082501-機號:27767)
12/28 W3*1 OK(648)
21/1/8 出1台 (三廠-HA20121001-機號:100000183)
1/18 出1台 (三廠-HA20091601-機號:100000206)
1/28 出1台 (三廠-HA20081701-機號:100000243)
2/5 出1台 (三廠-HA20072101-工號:100000244)
2/23 W3*1 OK(648)
3/2 W3*1 OK(648)(HA21022201-000400000184)
3/11 出1台 (三廠-HA21022201-工號:100000279-000400000184)
3/30 W3*1 OK(648)(HA21032201-000400000184)
4/14 W3*1 OK(648)(HA21031901-000400000293)
4/16 W3*1 OK(648)(HA21041201-000400000184)
4/27 W3*1 OK(648)(HA21041301-000400000382)
5/14 出1台 (三廠-HA21041301-100000764-000400000382)
7/1 出1台 (三廠-HA21041201-100000919-000400000184)
7/21 W3*1 OK(648)(HA21061001-000400000184)
7/22 W3*1 OK(648)(HA21060901-000400000184)
8/20 出1台 (三廠-HA21061001-100000742-000400000184)
9/16 W3*1 OK(648)(HA21090801-000400000382)
9/23 W3*1 OK(648)(HA21090601-000400000184)
9/23 W3*1 OK(648)(HA21091101-000400000382)
10/13 W3*1 OK(648)(HA21100501-000400001722-國盈)
11/22 出1台 (三廠-HA21100501-100000181-000400001722-國盈)
12/2 出1台 (三廠-HA21090801-100001313-000400000382)
22/2/7 出1台 (三廠-HA21090601-100001173-000400000184)
2/16 出1台 (三廠-HA21091101-100001541-000400000382)
3/8 出1台 (三廠-HA21060901-100001334-000400000184)
22/3/24 W3*1 OK(648-000400001181)
3/28 W3*1 OK(648-000400001538)
4/8 出1台 (三廠-HA22031601-100001686-000400001538)
4/29 出1台 (三廠-HA22031101-100001743-000400001181)
5/4 W3*1 OK(648-000400001624)
5/9 出1台 (三廠-HA21031901-100001453-000400000293)
5/17 出1台 (三廠-HA22042201-100001454-000400001624)
5/25 出1台 (三廠-HA21020501-10000-000400001790)
6/22 W3*1 OK(648-000400002813)
001289:
11/14 出1台 (三廠-HA22053101-100002093-000400002813)
guang:
23/2/7 W3*1 OK(648-000400000248)
3/24 出1台 (本廠-HA22112101-100002293-000400000248)
3/27 出1台 (三廠-HA21032201-100002291-000400000184)
4/7 W3*1 OK(648-000400000248-W1螺姆座過切11mm)
4/11 W3*1 OK(648-000400000248)
4/14 出1台 (三廠-HA23032201-100002356-000400000184)
5/8 出1台 (三廠-HA23032801-100002275-000400000248)
5/15 W3*1 OK(648-000400003497)
6/7 出1台 (三廠-HA23050301-100002437-000400003497)
6/15 W3*1 OK(648-000400003541)
7/9 W3*1 OK(648-000400003590)
7/24 W3*1 OK(648-000400003590)
8/15 出1台 (三廠-HA23071101-100002617-000400003590)
8/17 W3*1 OK(648-000400003686)
8/29 W3*1 OK(648-000400003741)
9/11 出1台 (三廠-HA23072001-100002546-000400003686)
10/12 出1台 (台典研-HA23081501-100002308-000400003741)-5BC
10/27 出1台 (三廠-HA23053001-100002562-000400003541)
24/1/2 W3*1 OK(648-000400004104)-預計#2493
1/9 出1台 (本廠-HA23062901-100002616-000400003590)
1/15 W3*1 OK(648-000400004104)
3/21 W3*1 OK(648-000400004342)
4/2 出1台 (三廠-HA23122201-100002493-000400004104)
guang:
24/4/25 出1台 (三廠-HA23122901-100002813-000400004104)
5/30 W3*1 OK(648-000400004334)
6/11 W3*1 OK(648-000400004608)
6/18 出1台 (三廠-HA24051601-100002804-000400004334)
6/20 出1台 (三廠-HA24022701-100002805-000400004342)
7/12 出1台 (本廠-HA24052301-100002872-000400004608)
7/17 W3*1 OK(648-000400004660)
7/23 W3*1 OK(648-000400004660)
8/6 出1台 (三廠-HA24070901-100002724-000400004660)
9/9 出1台 (三廠-HA24070501-100002904-000400004660)
10/17 W3*1 OK(648-000400004863)
11/8 W3*1 OK(648-000400004946)
11/19 出1台 (三廠-HA24101601-100003043-000400004946)
guang:
25/2/7 出1台(廠內展用-HA24091101-000400004863)轉(100003321)
2/8 出1台(廠內展用-HA24120201-000400005180)轉(100003290)
7/1 W3*1 OK(648-000400005799)
hsinwei:
hsinwei:</t>
      </text>
    </comment>
    <comment ref="K9" authorId="0" shapeId="0">
      <text>
        <t xml:space="preserve">guang:
1/2 W3*1 OK(648-000400004104)-預計#2493
出1台 (三廠-HA23122201-100002493-000400004104)
</t>
      </text>
    </comment>
    <comment ref="L9" authorId="0" shapeId="0">
      <text>
        <t xml:space="preserve">guang:
8/19 W1*1 NG(YJF-正面預留30mm)
guang:
24/8/27 出1台(#4863)
</t>
      </text>
    </comment>
    <comment ref="C10" authorId="0" shapeId="0">
      <text>
        <t xml:space="preserve">guang:
12/4 入1台(YZ)
3/1 入1台(YZ)
3/23 入1台(YZ)
5/21 入1台(YZ)
</t>
      </text>
    </comment>
    <comment ref="D10" authorId="0" shapeId="0">
      <text>
        <t xml:space="preserve">guang:
1/17 W1*1 OK(408)
3/3 W1*1 OK(408)
3/27 W1*1 OK(408)
6/8 W1*1 OK(408)
</t>
      </text>
    </comment>
    <comment ref="E10" authorId="0" shapeId="0">
      <text>
        <t xml:space="preserve">guang:
1/30 W2*1 NG(面砂孔)guang:
2/2 出1台(YZ)
3/9 W2*1 OK(411)
3/31 W2*1 OK(351)
6/12 W2*1 OK(411)
</t>
      </text>
    </comment>
    <comment ref="H10" authorId="0" shapeId="0">
      <text>
        <t xml:space="preserve">guang:
3/13 W3*1 OK(648)
3/22 出1台
4/2 W3*1 OK(648)
5/23 出1台(三廠)
long:
6/22 W3*1 OK(648)
guang:
24/4/25 出1台(三廠-10000-#4161)
</t>
      </text>
    </comment>
    <comment ref="C11" authorId="0" shapeId="0">
      <text>
        <t>guang:
3/3 入1台(YZ)-光
4/5 入1台(YZ)
6/21 入1台(YZ)(new)
12/20 入1台(YZ)(new)
1/02 入1台(YZ)(new)
1/19 入1台(YZ)(new)
2/6 入1台(YZ)(new)
2/21 入1台(YZ)(OLD)
4/19 入1台(YZ)(OLD)
5/4 入1台(YZ)(new)
5/18 入1台(YZ)(new)
5/29 入1台(YZ)(new)
6/12 入1台(YZ)(NEW)
6/26 入1台(YZ)(NEW)
7/10 入1台(YZ)(NEW)
7/18 入1台(YZ)(NEW)
guang:
22/5/4 入1台(LD-#2640)
6/20 入1台(LD-#2880)
23/5/4 入1台(LD-#3534)
10/4 入1台(LD-#3898)
10/9入1台(LD-#5055)
guang:
24/12/11入1台(LD-#5233)
25/10/27 入1台(LD-#6010)</t>
      </text>
    </comment>
    <comment ref="D11" authorId="0" shapeId="0">
      <text>
        <t>guang:
3/14 W1*1OK(加工設定Z下5MM)
7/18 W1*1 OK(408)
10/26 W1*1 OK(408)
12/29 W1*1 OK(523)
1/9 W1*1 OK(408)
ralf:
滑塊結合面包砂 報廢(永栈)
1/18 出1台(YZ)
1/22 W1*1 OK(408)
2/9 W1*1 OK(408)
2/23 W1*1 OK(408)
4/26 W1*1 OK(408)
5/15 W1*1 OK(408)
6/5 W1*1 OK(408)
6/6 W1*1 OK(408)
7/31 W1*2 OK(408)
10/22 W1*1 OK(408)
10/23 W1*1 OK(408)
22/5/10 W1*1 OK(813-#2640)
6/23 W1*1 OK(409-#2880)
23/5/10 W1*1 OK(813#3534)
10/11 W1*1 OK(409#3898)
24/10/12 W1*1 OK(813#5055)
12/13 W1*1 OK(813#5233)
25/10/29 W1*1 OK(410#6010)</t>
      </text>
    </comment>
    <comment ref="E11" authorId="0" shapeId="0">
      <text>
        <t>guang:
7/4 W2*1 OK(411)
7/11 W3*1加工異況(待處理)
7/21 W2*1 OK(411)
1/5W2*1 OK(411)(T22)
1/27 W2*1 OK(410)
2/22 W2*1 OK(410)
2/27 W2*1 OK(410)
5/2 W2*1 OK(351)
5/18 W2*1 OK(351)
6/9 W2*1 OK(351)
6/13 W2*1 OK(351)
8/2 W2*1 OK(410)
8/4 W2*1 OK(410)
12/24 W2*1 OK(411)
12/27 W2*1 OK(411)
22/5/23 W2*1 OK(351#2640)
7/6 W2*1 OK(351#2880)
23/5/18 W2*1 OK(411#3534)
10/14 W2*1 OK(411#3898)
24/10/14 W2*1 OK(411#5055)
12/19 W2*1 OK(351#5233)
25/11/3 W2*1 OK(351#6010)</t>
      </text>
    </comment>
    <comment ref="H11" authorId="0" shapeId="0">
      <text>
        <t>guang:
3/3出1台
7/24 W3*1 OK(648)
8/9 出1台(3廠)
11/27 W3*1 OK(648)
12/6 出1台(轉台典研)(HA17102602)
1/9 W3*1 OK(648)
1/11 出1台(轉台典研)(HA17122901)-T22
1/31 W3*1 OK(648)
2/2 出1台
2/23 W3*1 OK(648)
3/2 W3*1 OK(648)
3/14 出1台(三廠)
5/3 W3*1 OK(648)
5/17 出1台(三廠)
5/21 W3*1 OK(648)
5/29 出1台(三廠)
6/12 出1台(三廠)
6/14 W3*1 OK(648)
6/20 W3*1 OK(648)
8/9 W3*2 OK(648-H08000569)
8/22 出1台(三廠)
9/20 出1台(三廠)
12/25 W3*1 OK(648-H08000569)
12/27 W3*1 OK(648)
4/9 出1台(6路-HA18102301-27838)
12/22 出1台(報廢)
guang:
21/1/20 出1台(三廠-HA18102201-100000242)
guang:
22/4/19 出1台(三廠-HA18073101-100001582-H08000569)
5/18 出1台(三廠-HA18073101-100001583-H08000569)
5/31 W3*1 OK(648-#2640)
7/7 W3*1 OK(648-#2880)
8/23 出1台(三廠-HA22051001-100001942-000400002640)
23/3/22 出1台(三廠-HA22062301-100002247-000400002880)
5/22 W3*1 OK(648-#3534)
5/24 出1台(三廠-HA23051001-100002321-000400003534)
10/20 W3*1 OK(648-#3898)
11/9 出1台(三廠-HA23100601-100002504-000400003898)
24/10/17 W3*1 OK(648-#5055)
10/18 出1台(三廠-HA24101201-100002950-000400005055)
12/20 W3*1 OK(648-#5233)
12/31 出1台(三廠-HA24121301-100003083-000400005233)
25/11/4 W3*1 OK(648-#6010)
11/5 出1台(三廠-HA25102901-100003402-000400006010)</t>
      </text>
    </comment>
    <comment ref="C12" authorId="1" shapeId="0">
      <text>
        <t xml:space="preserve">23/10/24 入1台(LD_#3973)
</t>
      </text>
    </comment>
    <comment ref="D12" authorId="0" shapeId="0">
      <text>
        <t xml:space="preserve">guang:
23/10/27 W1*1 OK(409-#3973)
</t>
      </text>
    </comment>
    <comment ref="E12" authorId="0" shapeId="0">
      <text>
        <t xml:space="preserve">guang:
23/11/2 W2*1 OK(411-#3973)
</t>
      </text>
    </comment>
    <comment ref="H12" authorId="0" shapeId="0">
      <text>
        <t xml:space="preserve">guang:
23/11/13 W3*1 OK(648-#3973)
12/5 出1台(三廠-100002659-#3973)
guang:
</t>
      </text>
    </comment>
    <comment ref="C13" authorId="0" shapeId="0">
      <text>
        <t>guang:
4/5 入1台(YJF)
5/5 入3台(YJF)(含1台X向T溝)
5/9 入1台(YJF)
5/12 入1台(YJF)
6/21 入1台(YJF)
7/03 入1台(YJF)(換)
7/10 入1台(YJF)
7/11 入1台(JS)
7/17 入2台(YJF)
8/2 入2台(YJF)
8/8 入1台(YJF)
9/18 入1台(JS)(NEW)
11/9 入1台(JS)(NEW)
11/21 入1台(JS)(NEW)
11/23 入1台(JS)(NEW)
12/7 入2台(YJF)(OLD)
12/7 入1台(JS)(NEW)
12/15 入2台(YJF)(OLD)
12/21 入3台(YJF)(OLD)
12/22 入1台(YJF)(OLD)
12/25 入1台(JS)(NEW)
1/8 入1台(JS)(NEW)
1/12 入2台(YJF)(OLD)
1/18 入1台(JS)(NEW)
1/18 入2台(YJF)(OLD)
1/18 入1台(JS)(NEW)
2/2 入1台(JS)(NEW)
2/2 入2台(YJF)(OLD)
2/9 入1台(YJF)(OLD)
2/9 入1台(JS)(NEW)
2/26 入3台(YJF)(OLD)
2/27 入1台(JS)(NEW)
3/2 入1台(YJF)(OLD)
3/8 入1台(JS)(NEW)
3/12 入1台(JS)(NEW)
3/19 入2台(JS)(NEW)
3/23 入1台(JS)(NEW)
3/26 出2台(JS)(扭曲過多)
3/26 入1台(JS)(NEW)
4/11 入1台(JS)(NEW)
4/11 入1台(JS)(換)
4/24 入1台(JS)(NEW)
5/2 入1台(JS)(NEW)
5/11 入1台(YJF)(NEW)
5/14 入1台(YJF)(NEW)
5/17 入1台(YJF)(NEW)
5/23 入1台(YJF)(NEW)
7/6 入1台(YJF)(NEW)
7/10 入3台(JS)(NEW)
7/13 入1台(JS)(NEW)
7/16 入1台(JS)(換)
7/6 入1台(YJF)(NEW)
8/3 入1台(YJF)(NEW-X向)
12/25 入1台(JS)(換)
1/.... 入1台(JS)
1/29 入1台(JS)(NEW)
2/15 入1台(JS)(NEW)
3/18 入1台(JS)(載回補救)
4/24 入1台(JS)(NEW)
4/29 入1台(YJF)(NEW)
5/2 入1台(YJF)(NEW)
5/2 入1台(JS)(NEW)
5/16 入1台(JS)(換)
5/22 入2台(YJF)(NEW)
9/18 入1台(JS)(NEW)
11/13 入1台(YJF-X向)
3/6 入2台(YJF)(NEW)
3/10 入1台(JS)(NEW)
3/16 入1台(JS)(NEW)
3/25 入1台(JS)(NEW)
4/23 入1台(YJF)(NEW)
4/24 入1台(YJF)(NEW)
5/7 入1台(JS)(NEW)
5/15 入1台(JS)(NEW)
5/21 入2台(YJF)(NEW)
6/19 入1台(YJF)(NEW)
10/26 入2台(YJF)(NEW)
12/31 入2台(JS)(NEW)
21/2/8 入2台(YJF)(NEW)
2/18 入1台(YJF)(NEW)
2/19 入2台(JS)(NEW)
2/24 入1台(JS)(NEW)
3/4 入1台(JS)(NEW)
3/8 入1台(YJF)(NEW)
3/23 入1台(YJF)
4/1 入1台(YJF)(填滿)
4/28 入1台(YJF)
5/11 入1台(YJF)(填滿)
5/21 入1台(YJF)(填滿)
6/17 入1台(JS)(NEW)
6/22 入1台(JS)(NEW)
7/6 入2台(YJF)
7/14 入1台(YJF)
7/27 入2台(YJF)
22/5/4 入2台(YJF-#2705)
7/12 入1台(JS-#1347-換)
23/1/12 入1台(YJF-#3339)
4/26 入2台(YJF-#3498)
guang:
5/11 入1台(YJF-#3540)
7/13 入1台(YJF-#3685)
8/1 入1台(YJF-#3739)
8/1 入1台(YJF-#3740)
23/11/2 入1台(YJF-#4000)
24/2/29 入1台(YJF-#4336)
4/15 入1台(YJF-#4491)
6/11 入1台(YJF-#4670)
guang:
24/8/21 入1台(YJF-#4919)
8/27 入1台(YJF-#4919)
11/19 入1台(YJF-#5169)
12/18 入1台(YJF-#5202)
25/2/7 入1台(YJF-#5408)
3/19 入2台(YJF-#5530)
5/8 入1台(YJF-#5701)
11/13 入1台(YJF-#6025)
12/18 入1台(YJF-#6108)
26/1/6 入1台(YJF-#6137)</t>
      </text>
    </comment>
    <comment ref="D13" authorId="0" shapeId="0">
      <text>
        <t>guang:
3/20 W1 OK*1
4/7 W1 OK*1
5/9 W1 OK*1(X向T溝)
7/19 W1 OK*1(408)
7/24  W1 OK*1(408)
7/25  W1 OK*1(408)
8/17  W1 OK*1(408)
8/18  W1 OK*1(408)
9/15  W1 OK*1(408)
9/21  W1 OK*1(408)
9/26  W1 OK*1(408)
9/27  W1 OK*1(408)
11/13  W1 OK*1(523)
11/23  W1 OK*1(523)
11/27  W1 OK*1(523)
11/30  W1 OK*1(523)
12/1  W1 OK*1(523)
12/11 W1 OK*1(523)
12/12 W1 OK*1(523)
12/13 W1 OK*1(523)
12/18 W1 OK*1(523)
12/19 W1 OK*1(523)
12/26 W1 OK*1(523)
12/27 W1 OK*1(523)
12/28 W1 OK*1(523)
1/02 W1 OK*1(523)
1/18 W1 OK*1(408)
1/19 W1 OK*1(408)
1/19 W1 OK*1(408)
1/24 W1 OK*1(408)
1/25 W1 OK*2(408)
2/5 W1 OK*1(408)
2/6 W1 OK*1(408)
2/10 W1 OK*1(408)
2/12 W1 OK*1(408)
2/13 W1 OK*1(408)
3/5 W1 OK*1(408)
3/6 W1 OK*1(408)
3/7 W1 OK*1(408)
3/13 W1 OK*1(408)
3/15 W1 OK*1(408)
3/21 W1 OK*1(408)
3/22 W1 OK*1(408)
3/23 W1 OK*1(408)
5/4 W1 OK*1(408)
5/18 W1 OK*1(408)
5/19 W1 OK*1(408)
5/21 W1 OK*1(408)
7/17 W1 OK*2(408)
7/18 W1 OK*1(408)
7/21 W1 OK*1(408)
7/23 W1 OK*1(408)
8/6 W1 OK*1(X向)
8/9 W1 OK*1(408)
8/10 W1 OK*1(408)
8/13 W1 OK*1(408)
8/22 W1 OK*1(408)
8/23 W1 OK*1(408)
8/24 W1 OK*1(408)
8/27 W1 OK*1(408)
8/28 W1 OK*1(408)
12/27 W1 OK*1(408)
12/27 W1不良(砂孔)-JS
2/12 W1 OK*1(408)
2/15 W1 OK*1(408)
2/19 出1台(砂孔)-JS
2/19 W1 OK*1(408)
4/11 補救中-待判
5/2 出1台(JS-載回)
5/6 W1 OK*1(408)
5/8 W1 OK*1(408)
5/10 W1 OK*1(408)
5/16 W1 OK*1(408)
5/30 W1 OK*1(408)
6/4 W1 OK*1(408)
6/6 W1 OK*1(408)
11/18 W1 OK*1(408-X向)
11/21 W1 OK*1(408)
3/10 W1 OK*1(408)
3/12 W1 OK*1(408)
3/16 W1 OK*1(408)
4/9 W1 OK*1(408)
4/13 W1 OK*1(408)
5/6 W1 OK*1(408)
5/11 W1 OK*1(408)
6/3 W1 OK*1(408)
7/29 W1 OK*1(408)
7/31 W1 OK*1(408)
9/8 W1 OK*1(408)
11/3 W1 OK*1(408)
11/5 W1 OK*1(408)
21/1/6 W1 OK*1(408)
1/14 W1 OK*1(408)
2/19 W1 OK*1(408)
2/26 W1 OK*1(408-000400000185)
3/3 W1 OK*1(408)
3/12 W1 OK*1(408)
3/16 W1 OK*1(408)
3/29 W1 OK*1(408)
4/28 W1 OK*1(408)
5/14 W1 OK*1(408-000400000185)
5/19 W1 OK*1(408-000400000185)
5/21 W1 OK*1(408-000400000185)
8/5 W1 OK*1(408-383)
8/9 W1 OK*1(408-383)
22/1/26 W1 OK*1(409-1233)
2/7 W1 OK*1(409-1263)
2/17 W1 OK*1(409-#383)
4/12 W1 OK*1(409-#1347)
4/14 W1 OK*1(409-#1347)
5/26 W1 OK*1(409-#2705)
5/30 W1 OK*1(409-#2705)
7/23 W1 OK*1(409-#1347-換)
10/27 W1 OK*1(409-#306)
001289:
11/7 W1 OK*1(813-#306)
11/10 W1 OK*1(813-#306)
guang:
23/2/10 W1 OK*1(409-#3339)
4/28 W1 OK*1(813-#3498)
5/9 W1 OK*1(409-#3498)
5/17 W1 OK*1(813-#3540)
7/18 W1 OK*1(409-#3685)
8/11 W1 OK*1(813-#3740)
8/21 W1 OK*1(813-#3739)
11/10 W1 OK*1(409-#4000)
24/3/19 W1*1 OK(410-#4336)
4/26 W1*1 OK(813-#4491)
6/18 W1*1 OK(409-#4670)
9/5 W1*1 OK(410-#4919)
9/9 W1*1 OK(410-#4919)
12/5 W1*1 OK(813-#5169)
12/30 W1*1 OK(813-#5202)
25/2/19 W1*1 OK(409-#5408)
4/26 W1*1 OK(813-#5530)
5/12 W1*1 OK(409-#5530)
5/14 W1*1 OK(409-#5701)
11/27 W1*1 OK(409-#6025)
12/24 W1*1 OK(409-#6108)</t>
      </text>
    </comment>
    <comment ref="E13" authorId="1" shapeId="0">
      <text>
        <t>ralf:
6/13 W2*1 報廢(T溝位置錯誤)
6/16 W2*1 OK(351)
6/21 W2*1 OK(351)
6/26 W2*1 OK(351)
6/26----報廢2台(剩1)(側邊螺絲孔-T溝須做22溝)
7/17出1台(YJF)(交換)
7/20 W2*1 OK(411)
7/26 W2*1 OK(411)
8/1 W2*1 OK(411)
8/29 W2*1 OK(351)
9/4 W2*1 OK(351)
9/25 W2*1 OK(411)
9/30 W2*1 OK(411)
10/2 W2*1 OK(351)
10/25 W2*1 OK(411)
11/15 W2*1 (410)T溝錯
11/28 W2*1 OK(410)
12/2 W2*1 OK(411)
12/6 W2*1 OK(410)
12/15 W2*1 OK(410)
12/15 W2*1 OK(351)
12/19 W2*1 OK(410)
12/25 W2*1 OK(411)
12/26 W2*1 OK(410)
1/3 W2*1 OK(411)(T28)
1/3 W2*1 OK(410)
1/8 W2*1 OK(410)
1/9 W2*1 OK(411)
1/25 W2*1 OK(410)
1/30 W2*1 OK(411)
2/2 W2*1 OK(351)
2/6 W2*1 OK(411)
2/7 W2*1 OK(351)
guang:
2/9 出1台(甲聖載走)
2/10 W2*1 OK(351)
2/13 W2*1 OK(351)
2/21 W2*1 OK(351)
2/23 W2*1 OK(351)
2/28 W2*1 OK(351)
3/6 W2*1 OK(411)
3/9 W2*1 OK(351)
3/14 W2*1 OK(351)
3/21 W2*1 OK(351)
3/24 W2*1 OK(351)
3/24 W2*1 OK(410)
3/27 W2*1 OK(411)
3/28 W2*1 OK(351)
4/4 W2*1 OK(351)
4/9 W2*1 OK(411)
5/15 W2*1 OK(351)
5/23 W2*1 OK(351)(特殊-定位溝*3)
5/28 W2*1 OK(351)
5/30 W2*1 OK(351)
7/20 W2*1 OK(411)
7/23 W2*1 OK(410)
7/24 W2*1 OK(411)
7/26 W2*1 OK(410)
7/31 W2*1 OK(410)
8/10 W2 OK*1(411)(X向)
8/15 W2*1 OK(351)
8/16 W2*1 OK(411)
8/18 W2*1 OK(351)
8/28 W2*1 OK(411)
8/28 W2*1 OK(351)
8/30 W2*1 OK(351)
8/30 W2*1 OK(411)
9/3 W2*1 OK(351)
2/18 W2*1 OK(351)
2/21 W2*1 OK(351)
2/26 W2*1 OK(351)
guang:
4/19--出1台(ZF)(側邊螺絲孔)
5/14 W2*1 OK(411)
5/17 W2*1 OK(411)
5/23 W2*1 OK(411)
5/28 W2*1 OK(411)
6/11 W2*1 OK(351)
6/14 W2*1 OK(411)
6/19 W2*1 OK(411)
11/27 W2*1 OK(411-X向)
12/06 W2*1 OK(411)
3/17 W2*1 OK(351)
3/24 W2*1 OK(351)
3/31 W2*1 OK(351)
4/17 W2*1 OK(351)
4/27 W2*1 OK(411)
5/18 W2*1 OK(351)
5/26 W2*1 OK(351)
6/1 W2*1 OK(351)
7/10 W2*1 OK(351)
8/5 W2*1 OK(411)
8/12 W2*1 OK(411)
9/17 W2*1 OK(411)
11/10 W2*1 OK(411)
11/19 W2*1 OK(411)
21/1/14 W2*1 OK(351)
1/21 W2*1 OK(351)
3/2 W2*1 OK(411)(H08000568)
3/9 W2*1 OK(411)(000400000185)
3/15 W2*1 OK(411)(000400000185)
3/19 W2*1 OK(411)(000400000292)
3/25 W2*1 OK(411)(000400000185)
4/28 W2*1 OK(351)(000400000292)
5/6 W2*1 OK(351)(000400000383)
5/19 W2*1 OK(351)(000400000185)
6/10 W2*1 OK(411)(000400000185)
6/22 W2*1 OK(351)(000400000185)
8/14 W2*1 OK(411)(000400000383)
8/24 W2*1 OK(411)(000400000383)
22/2/11 W2*1 OK(351)(000400001233-5BC)
2/17 W2*1 OK(351)(000400001263)
2/23 W2*1 OK(351)(000400000383)
4/19 W2*1 OK(351-#1347)(正面砂孔-@40)
4/26 W2*1 OK(351-#1347)
6/13 W2*1 OK(351-#2705)
6/20 W2*1 OK(351-#2705)
8/5 W2*1 OK(351-#1347-換)
11/16 W2*1 OK(411-#306)(T28)
001289:
23/1/17 W2*1 OK(351-#306)
2/21 W2*1 OK(351-#3339)
guang:
23/3/20 W2*1 OK(411-#306)
5/9 W2*1 OK(411-#3498)
5/25 W2*1 OK(411-#3498)
5/31 W2*1 OK(351-#3540)
7/26 W2*1 OK(351-#3685)
8/21 W2*1 OK(351-#3740)
8/31 W2*1 OK(351-#3739)
11/20 W2*1 OK(411-#4000)
24/3/26 W2*1 OK(411-#4336)
5/7 W2*1 OK(351-000400004491)
6/26 W2*1 OK(411-#4670)
9/16 W2*1 OK(411-#4919)
9/21 W2*1 OK(411-#4919)
12/30 W2*1 OK(351-#5169)
25/1/9 W2*1 OK(351-#5202)
3/10 W2*1 OK(411-#5408)
5/13 W2*1 OK(411-#5530)
5/22 W2*1 OK(351-#5530)
6/4 W2*1 OK(411-#5401)
12/9 W1*1 OK(351-#6025)
26/1/6 W1*1 OK(411-#6108)</t>
      </text>
    </comment>
    <comment ref="H13" authorId="1" shapeId="0">
      <text>
        <t xml:space="preserve">
1/15 出1台(三廠-HA19060401)
1/20 出1台(三廠-HA19112101)
2/3 出1台(三廠-HA19060601)
2/5 出1台(三廠-HA19051001)-出貨固定孔下移10mm-配27915
2/17 出1台(三廠-HA19051601)-出貨固定孔下移10mm-配27920
3/17 W3*1 OK(648)
3/18 出1台(三廠-HA20031001)
3/25 W3*1 OK(648)
3/30 出1台(三廠-HA20031601)
3/31 W3*1 OK(648)
4/6 出1台(三廠-HA20031201-配28052)
4/20 W3*1 OK(648)
4/28 W3*1 OK(648)
5/22 W3*1 OK(648)
5/27 W3*1 OK(648)
6/2 W3*1 OK(648)
7/20 出1台(三廠-HA2040901-配27842)
7/22 W3*1 OK(648)
8/4 出1台(三廠-HA20052001-配28228)
8/6 W3*1 OK(648)
8/11 出1台(三廠-HA20072901-配27770)
8/13 出1台(三廠-HA20060301-配27906)
8/13 W3*1 OK(648)
9/18 W3*1 OK(648)
10/27 出1台(三廠-HA20051101-配28320)
10/27 出1台(三廠-HA20090801-配28321)
10/28 出1台(三廠-HA20050601-配28325)
11/11 W3*1 OK(648)
11/23 W3*1 OK(648)
12/1 出1台(三廠-HA20110501-配27811)
21/1/4 出1台(三廠-HA20110301-配28316)
1/6 出1台(三廠-HA20041301-配28317)
1/15 出1台(三廠-HA20073101-配100000205)
1/19 W3*1 OK(648)
1/22 W3*1 OK(648)
1/29 出1台(三廠-HA21011401-配100000296)
2/26出1台(三廠-HA21010601-配100000354)
3/3 W3*1 OK(648)(H08000568)
3/10 W3*1 OK(648)(000400000185)
3/11 出1台 (三廠-HA21022601-100000249-000400000185)
3/16 W3*1 OK(648)(000400000185)
3/22 W3*1 OK(648)(000400000292)
3/29 出1台 (三廠-HA21031201-100000544-000400000292)
3/29 W3*1 OK(648)(000400000185)
4/29 W3*1 OK(648)(000400000292)
5/10 W3*1 OK(648)(000400000383)
5/13 出1台 (三廠-HA21031601-100000629-000400000185)
5/21 W3*1 OK(648)(000400000185)
5/25 出1台 (三廠-HA21042801-100000630-000400000383)
6/11 W3*1 OK(648)(000400000185)
6/23 W3*1 OK(648)(000400000185)
8/14 W3*1 OK(648)(000400000383)
8/27 W3*1 OK(648)(000400000383)
10/06 出1台 (三廠-HA21080901-100000892-000400000383)
10/12 出1台 (三廠-HA21080501-100000967-000400000383)
12/3 出1台 (三廠-HA21051401-100001332-000400000185)
12/7 出1台 (三廠-HA21051901-100001368-000400000185)
12/7 出1台 (三廠-HA21052101-100001364-000400000185)
22/1/6 出1台 (三廠-HA21032901-100001369-000400000292)
2/15 W3*1 OK(648)(000400001233-5BC)
2/21 W3*1 OK(648)(000400001263)
2/25 W3*1 OK(648)(000400000383)
3/3 出1台 (轉台典研-HA22012601-100001159-000400001233)
3/10 出1台 (隨立式機出-LG1570-HA22021701-泰國售服單-000400000383)
4/26 出1台 (三廠-HA21021901-100001741-H08000568)
4/28 W3*1 OK(648-000400001347)
hsin:
6/13出1台(三廠-HA22041401-100001760-000400001347)
guang:
6/16 W3*1 OK(648-000400002705)
6/21 W3*1 OK(648-000400002705)
7/4出1台(三廠-HA22052601-100001891-000400002705)
7/13出1台(三廠-HA22053001-100001902-000400002705)
7/21出1台(三廠-HA21030301-100001820-000400000185)
8/10 出1台(三廠-HA22020701-100001968-000400001263)
812 W3*1 OK(648-000400001347-換)
001289:
11/18 W3*1 OK(648-000400000306-000400003339對調號碼)(T28)
guang:
23/1/3出1台(三廠-HA22072301-100002195-000400001347)
001289:
1/17 W3*1 OK(648-000400000306)
001289:
23/2/1出1台(三廠-HA22110701-100002156-000400000306)
2/14出1台(台典研-HA22102701-100001952-000400003339-T28)
guang:
2/22 W3*1 OK(648-000400003339)
3/13 出1台(三廠-HA23021001-100002220-000400000306)
3/21 W3*1 OK(648-000400000306)
3/24 出1台(三廠-HA22111001-100002302-000400000306)
5/9 W3*1 OK(648-000400003498)
5/11 出1台(三廠-HA23042801-100002319-000400003498)
guang:
5/29 W3*1 OK(648-000400003498)
5/30 出1台(三廠-HA23050901-100002373-000400003498)
6/1 W3*1 OK(648-000400003540)
6/27 出1台(三廠-HA23051701-100002458-000400003540)
7/27 W3*1 OK(648-000400003685)
7/31 出1台(三廠-HA23071801-100002408-000400003685)
8/24 W3*1 OK(648-000400003740)
guang:
8/29 出1台(三廠-HA23081101-100002544-000400003740)
9/5 W3*1 OK(648-000400003739)
10/11 出1台(三廠-HA23082101-100002565-000400003739)
11/21 W3*1 OK(648-000400004000)
12/19 出1台(三廠-HA23111001-100002632-000400004000)
24/3/27 W3*1 OK(648-000400004336)
5/13 W3*1 OK(648-000400004491)
7/1 W3*1 OK(648-000400004670)
7/2 出1台(三廠-HA24042601-100002825-000400004491)
8/1 出1台(三廠-HA24061801-100002747-000400004670)
8/15 出1台(三廠-HA24031901-100002919-000400004336)
9/19 W3*1 OK(648-000400004919)
9/25 W3*1 OK(648-000400004919)
10/9 出1台(三廠-HA24090501-100002954-000400004919)
12/16 出1台(三廠-HA24090901-100003035-000400004919)
25/1/13 W3*1 OK(648-000400005169)
2/3 W3*1 OK(648-000400005202)
25/2/13 出1台(三廠-HA24123001-100003125-000400005202)
3/10 出1台(三廠-HA24120501-100003168-000400005169)
3/13 W3*1 OK(648-#5408)
2/24 入1台(售服退修件)OK
3/25 出1台(三廠-HA25021901-100003185-000400005408)(砂孔退)
5/27 W3*1 OK(648-#5530)
5/29 W3*1 OK(648-#5530)
6/6 W3*1 OK(648-#5701)
8/7 出1台(三廠-HA25042601-100003185-000400005530)(交換)
8/15 出1台(三廠-HA25051401-100003378-000400005701)
9/30 出1台(三廠-HA25051201-100003401-000400005530)
guang:
10/22 出1台(三廠-HA22021701-100003418-000400001263)(售服退件)
12/11 W3*1 OK(648-#6025)
26/1/9 出1台(三廠-HA25112701-100003446-000400005408)(#6025給5BC-429用)</t>
      </text>
    </comment>
    <comment ref="L13" authorId="0" shapeId="0">
      <text>
        <t xml:space="preserve">guang:
面研磨增加X向定位溝
guang:
4/19 W2*1 NG(正面砂孔-JS-#1347)
-HA22041201
guang:
6/1 載回1台(JS-HA22041201-#1347)
</t>
      </text>
    </comment>
    <comment ref="C14" authorId="0" shapeId="0">
      <text>
        <t>guang:
3/23 入1台(YZ)
9/11 入1台(YZ)
1/3 入1台(YZ)
3/13 入1台(YZ)
3/29 入1台(YZ)
4/9 入1台(YZ)
4/10 入1台(YZ)
5/2 入1台(YZ)
5/17 入1台(YZ)
6/4 入1台(YZ)
6/11 入1台(YZ)
long:
6/22 入1台(YZ)
7/9 入1台(YZ)
3/4 入1台(YZ)
6/14 入1台(YZ)
6/26 入1台(YZ)(X向)
7/17 入1台(YZ)
11/23 入1台(YZ)
21/4/29入1台(YZ)
12/8入1台(YZ-#2017)
22/2/23入1台(YZ-#2337)
23/10/13入1台(LD-#3942)
guang:
24/4/11入1台(LD-#4472)
5/22入1台(LD-#4639)
6/17入1台(LD-#4684)
001289:
25/1/21入1台(LD-#5401)
11/11入1台(LD-#6029)</t>
      </text>
    </comment>
    <comment ref="D14" authorId="0" shapeId="0">
      <text>
        <t>guang:
6/8 W1*1 OK(408)
10/21 W1*1 OK(408)
1/10 W1*1 OK(408)
3/14 W1*1 OK(408)
4/3 W1*1 OK(408)
4/10 W1*1 OK(408)
4/11 W1*1 OK(408)
4/17 W1*1 OK(408)
5/24 W1*1 OK(408)
6/14 W1*1 OK(408)
6/15 W1*1 OK(408)
7/4 W1*1 OK(408)
7/14 W1*1 OK(408)
3/20 W1*1 OK(408)
6/19 W1*1 OK(408)
6/28 W1*1 OK(408)
7/19 W1*1 OK(408)
12/4 W1*1 OK(408)
21/6/19 W1*1 OK(408-713)
22/2/19 W1*1 OK(409-#2017)
6/17 W1*1 OK(409-#2337)
23/10/17 W1*1 OK(409-#3942)
24/4/17 W1*1 OK(813-#4472)
6/15 W1*1 OK(409-#4639)
6/28 W1*1 OK(409-#4684)
25/6/11 W1*1 OK(409-#5401)
11/19 W1*1 OK(813-#6029)</t>
      </text>
    </comment>
    <comment ref="E14" authorId="0" shapeId="0">
      <text>
        <t>guang:
7/26 W2*1 OK(351)
10/31 W2*1 OK(411)
1/17 W2*1 OK(411)
3/17 W2*1 OK(351)
4/11 W2*1 OK(351)
4/17 W2*1 OK(351)
4/20 W2*1 OK(351)
5/25 W2*1 OK(411)(T28)
6/5 W2*1 OK(351)
6/25 W2*1 OK(351)
6/28 W2*1 OK(351)
7/9 W2*1 OK(351)
7/19 W2*1 OK(351)
3/28 W2*1 OK(351)
6/25 W2*1 OK(411)
7/8 W2*1 OK(411-T22X)
long:
7/26 W2*1 OK(411)
12/18 W2*1 OK(411)
21/7/17 W2*1 OK(351-713)
22/3/3 W2*1 OK(351-#2017)
6/27 W2*1 OK(351-#2337)
23/10/21 W2*1 OK(411-#3942)
guang:
24/4/23 W2*1 OK(351-#4472)
6/28 W2*1 OK(351-#4639)
guang:
7/11 W2*1 OK(351-#4684)
25/6/19 W2*1 OK(411-#5701)
12/1 W2*1 OK(351-#6029)</t>
      </text>
    </comment>
    <comment ref="H14" authorId="0" shapeId="0">
      <text>
        <t>guang:
7/21 出1台
7/26 W3*1 OK(648)
8/18 出1台 
8/25 出1台 
11/2 W3*1 OK(648)
1/22 W3*1 OK(648)
2/1 出1台 
2/27 出1台 
3/19 W3*1 OK(648)
4/17 W3*2 OK(648)
4/24 W3*1 OK(648)
5/9 出2台(轉台典研)
5/11 出1台(三廠)
5/28 W3*1 OK(648)(T28)
5/30 出1台(轉台典研)(T28)(025910)
6/22 W3*1 OK(648)
6/25 出1台 (三廠)
6/26 W3*1 OK(648)
6/29 W3*1 OK(648)
7/11 W3*1 OK(648)
7/20 W3*1 OK(648)
8/13 出1台 (三廠)
10/8 出1台 (三廠)
2/20 出1台 (三廠-HA18071401)
3/28 W3*1 OK(648)
5/6 出1台 (轉台典磨-HA18052402)
5/31 出1台 (三廠-HA18061402)
6/10 出1台 (三廠-HA19032001)
6/19 入1台(傑浩)
6/26 W3*1 OK(648)
7/9 W3*1 OK(648-T22X)
7/10 出1台 (轉台典磨-HA19062801-T22X)
7/30 W3*1 OK(648)
8/5 出1台 (三廠-HA19061901)
4/9 出1台 (三廠-HA19071901-28059)
9/4 出1台 (三廠-HA18073101-28262)
12/18 W3*1 OK(648)
12/30 出1台(3廠-HA20120401)(27954)
21/7/23 W3*1 OK(648-000400000713)
22/1/24 出1台(3廠-HA21061901-100000955-000400000713)
22/3/4 W3*1 OK(648-#2017)
6/28 W3*1 OK(648-#2337)
23/6/8 出1台(3廠-HA22061701-100002254-000400002337)
8/7 出1台(3廠-HA22021901-100002490-000400002017)
10/23 W3*1 OK(648-#3942)
10/24 出1台(3廠-HA23101701-100002465-000400003942)
guang:
24/4/25 W3*1 OK(648-#4472)
5/22 出1台(3廠-HA24041701-100002761-000400004472)
7/2 W3*1 OK(648-#4639)
7/10 出1台(3廠-HA24061501-100002834-000400004639)
7/15 W3*1 OK(648-#4684)
7/23 出1台(3廠-HA24062801-100002841-000400004684)
25/6/26 W3*1 OK(648-#5401)
7/2 出1台(3廠-HA25061101-100003310-000400005401)
12/3 W3*1 OK(648-#6029)
26/1/5 出1台(3廠-HA25111901-100003410-000400006029)</t>
      </text>
    </comment>
    <comment ref="C15" authorId="1" shapeId="0">
      <text>
        <t xml:space="preserve">ralf:
廣場guang:
7/25 入1台(YZ)
</t>
      </text>
    </comment>
    <comment ref="D15" authorId="0" shapeId="0">
      <text>
        <t xml:space="preserve">guang:
12/5 W1*1 OK(523)
1/23 W1*1 OK(408)
</t>
      </text>
    </comment>
    <comment ref="E15" authorId="0" shapeId="0">
      <text>
        <t xml:space="preserve">guang:
12/12 W2*1 OK(411)
1/29 W2*1 OK(351)
</t>
      </text>
    </comment>
    <comment ref="H15" authorId="0" shapeId="0">
      <text>
        <t xml:space="preserve">guang:
12/14 W3*1 OK(648)
5/11 出1台(三廠)
1/31 W3*1 OK(648)
2/19 出1台(三廠-HA19012301)
guang:
</t>
      </text>
    </comment>
    <comment ref="C16" authorId="0" shapeId="0">
      <text>
        <t>guang:
8/3 入1台(YJF)
12/21 入1台(YJF)(OLD)
3/23 入1台(YJF)(OLD)
5/21 入1台(YJF)(NEW)
5/24 入1台(YJF)(NEW)
6/19 入1台(YJF)(NEW)
9/5 入1台(YJF)(NEW)
11/12 入1台(YJF)(NEW)
12/5 入1台(YJF)(NEW)
9/9 入1台(YJF)(NEW)
1/20 入1台(YJF)(NEW)
11/23 入1台(YJF)(X向)
21/3/9 入1台(YJF)(NEW)
6/7 入1台(YJF)(NEW)
7/29 入1台(YJF)(NEW)
8/23 入1台(YJF)(NEW)
23/10/18 入1台(YJF-#3957)
24/5/15 入1台(YJF-#4606)
12/6 入1台(YJF-#5204)
25/1/10 入1台(YJF-#5366)
3/27 入1台(YJF-#5597)
12/3 入1台(YJF-#6073)
26/1/14入1台(YJF-#6183)</t>
      </text>
    </comment>
    <comment ref="D16" authorId="0" shapeId="0">
      <text>
        <t>guang:
2/23 w1 ok
10/14 w1 ok(408)
1/6 W1*1 OK(408)
4/9 W1*1 OK(408)
6/30 W1*1 OK(408)
7/3 W1*1 OK(408)
7/13 W1*1 OK(408)
9/28 W1*1 OK(408)
12/12 W1*1 OK(408)
12/14 W1*1 OK(408)
9/19 W1*1 OK(408)
2/4 W1*1 OK(408)
12/1 W1*1 OK(408-X向)
21/6/4 W1*1 OK(408)
8/31 W1*1 OK(408-1498)
9/21 W1*1 OK(408)
22/8/12 W1*1 OK(813-#1364)
guang:
24/5/20 W1*1 OK(813-#4606)
guang:
12/12 W1*1 OK(409-#5204)
25/1/13 W1*1 OK(409-#5366)
4/8 W1*1 OK(410-#5597)
12/9 W1*1 OK(813-#6073)</t>
      </text>
    </comment>
    <comment ref="E16" authorId="0" shapeId="0">
      <text>
        <t>guang:
10/25 W2*1 OK(351)
1/12 W2*1 OK(411)
4/17 W2*1 OK(411)
7/5 W2*1 OK(351)
7/6 W2*1 OK(411)(T28)
7/19 W2*1 OK(410)
11/14 W2*1 OK(351)
12/21 W2*1 OK(411)
12/25 W2*1 OK(351)
11/6 W2*1 OK(351)
3/3 W2*1 OK(351)
12/9 W2*1 OK(411)
21/6/29 W2*1 OK(411)
9/7 W2*1 OK(351-1498)
11/5 W2*1 OK(351)
22/8/24 W2*1 OK(411-#1364)
23/11/2 W2*1 OK(351-#3957-T28)
guang:
24/5/30 W2*1 OK(351-#4606)
12/19 W2*1 OK(411-#5204)
25/1/24 W2*1 OK(351-#5366)
4/16 W2*1 OK(351-#5597)
12/22 W2*1 OK(351-#6073)</t>
      </text>
    </comment>
    <comment ref="H16" authorId="0" shapeId="0">
      <text>
        <t>guang:
4/21 W3*1 OK(648)
5/3 W3*1 OK(648)
7/4 出1台(三廠)
8/31 出1台(三廠)
10/25 W3*1 OK(648)
3/21 入1台(傑浩)
4/19 W3*1 OK(648)
5/4 出1台(三廠)
6/14 出1台(三廠)
6/15 出1台(三廠)
7/9 W3*1 OK(648)
7/10 W3*1 OK(648)(T28)
7/12 出1台(轉台典研-T28-26099)
7/23 W3*1 OK(648)
8/27 出1台(三廠)
11/14 W3*1 OK(648)
11/29 出1台(三廠)
12/5 出1台(三廠-HA18063001)
12/21 W3*1 OK(648)
12/26 W3*1 OK(648)
3/14 出1台(三廠-HA18121401)
10/3 出1台(三廠-HA18121201)
11/22 W3*1 OK(648)
2/24 出1台(三廠-HA19091901)
3/4 W3*1 OK(648)
12/11 W3*1 OK(648)(X向)
12/14 出1台(三廠-HA20120101-機號:28291)
21/6/10 出1台(三廠-HA20020401-100000712)
6/30 W3*1 OK(648-000400000385)
8/30 出1台(三廠-HA21060401-100000743-000400000385)
9/8 W3*1 OK(648-000400001498)
11/4 出1台(三廠-HA21083101-100001062-000400001498)
11/9 W3*1 OK(648-000400001364)
22/9/1 W3*1 OK(648-000400001364)(535尺寸過切2.7mm)(10mm墊塊改12.7mm)
001289:
10/20 出1台(三廠-HA22081201-100001958-000400001364)
guang:
12/5 出1台(三廠-HA21092101-100002145-000無)
23/11/2 W3*1 OK(648-#3957-T28)
11/14 出1台(台典研-HA23102301-100002577-000400003957)
guang:
24/6/4 W3*1 OK(648-#4606)
6/6 出1台(三廠-HA24052001-100002779-000400004606)
12/25 W3*1 OK(648-#5204)
12/31 出1台(三廠-HA24121201-100003051-000400005204)
25/2/4 W3*1 OK(648-#5366)
2/12 出1台(三廠-HA25011301-100003089-000400005366)
4/24 W3*1 OK(648-#5597)
4/28 出1台(三廠-HA25040801-100003186-000400005597)
12/24 W3*1 OK(648-#6073)</t>
      </text>
    </comment>
    <comment ref="C17" authorId="0" shapeId="0">
      <text>
        <t>guang:
4/10 入1台(YZ)
4/21 入1台(YZ)
5/2 入1台(YZ)
5/10 入1台(YZ)
ralf:
6/8實際庫存1
6/20入1台(YZ)
7/17入1台(YZ)
7/26入1台(YZ)
4/11 入1台(YZ)
6/1 入1台(YZ)
7/5 入1台(YZ)
7/19 入1台(YZ)
8/13 入1台(YZ)
11/8 入1台(YZ)(加厚)
11/16 入1台(YZ)(加厚)
12/4 出1台(YZ)(加厚)
12/6 入1台(YZ)(加厚-處理OK)
12/28 入1台(YZ)
1/21 入1台(YZ)
3/13 入1台(YZ)
8/25 入1台(YZ)
11/23 入1台(YZ)
12/7 入1台(YZ)
21/3/23 入1台(YZ)
3/30 入1台(YZ)
3/31 入1台(YZ)
6/18 入1台(YZ)
7/12 入1台(YZ)
8/18 入1台(YZ)
10/27 入1台(YZ)
22/2/23 入1台(YZ-#2347)
8/4 入1台(LD-#3006)
guang:
24/10/15 入1台(LD-#5056)
25/3/5 入1台(LD-#5509)
12/3 入1台(LD-#6070)</t>
      </text>
    </comment>
    <comment ref="D17" authorId="0" shapeId="0">
      <text>
        <t xml:space="preserve">guang:
3/16 w1 ok(408)
4/5 W1 OK(408)
4/26 W1 OK(813)
5/15 W1 OK(408)
5/17 W1 OK(408)
6/26 W1 OK(408)
7/22 W1 OK(408)
8/7 W1*1 OK(408)
10/20 W1*1 OK(408)
11/20 W1*1 OK(523)
4/17 W1*1 OK(408)
6/13 W1*1 OK(408)
7/11 W1*1 OK(408)
7/30 W1*1 OK(408)
9/3 W1*1 OK(408)
9/4 W1*1 OK(408)
12/5 W1*1 OK(408-加厚)
12/10 W1*1 OK(408-加厚)
1/14 W1*1 OK(408)
1/31 W1*1 OK(408)
3/20 W1*1 OK(408)
9/3 W1*1 OK(813)
11/26 W1*1 OK(408)
12/15 W1*1 OK(408)
21/3/25 W1*1 OK(408)
4/6 W1*1 OK(408)
5/5 W1*1 OK(408)
6/24 W1*1 OK(408)
7/16 W1*1 OK(408-1253)
7/24 W1*1 OK(408-1466)
11/19 W1*1 OK(409-1857)
22/5/6 W1*1 OK(813-#2347)
8/8 W1*1 OK(409-#3006)
guang:
24/10/17 W1*1 OK(813-#5056)
25/3/18 W1*1 OK(409-#5509)
</t>
      </text>
    </comment>
    <comment ref="E17" authorId="1" shapeId="0">
      <text>
        <t xml:space="preserve">ralf:
中間T溝深度過深
噴補處理*1 11/18
5/3 w2*1 ok(351)
5/20 w2*1 ok(351)
5/25 w2*1 ok(351)
8/1 W2*1 OK(351)
8/24 W2*1 OK(351)
11/1 W2*1 OK(351)
11/30 W2*1 OK(351)
4/25 W2*1 OK(351)
6/21 W2*1 OK(351)
7/16 W2*1 OK(351)
8/3 W2*1 OK(411)
9/12 W2*1 OK(351)
9/18 W2*1 OK(351)
12/14 W2*1 OK(411)
12/18 W2*1 OK(410)
1/19 W2*1 OK(351)
2/18 W2*1 OK(409)
3/27 W2*1 OK(411)
9/11 W2*1 OK(351)
12/11 W2*1 OK(351)
12/24 W2*1 OK(351)
21/3/31 W2*1 OK(351)
4/16 W2*1 OK(351)
5/13 W2*1 OK(351)
7/1 W2*1 OK(351)
7/23 W2*1 OK(351)
8/31 W2*1 OK(351-1466)
12/2 W2*1 OK(351-1857)
22/5/17 W2*1 OK(351-#2347)
8/19 W2*1 OK(351-#3005)
guang:
24/10/29 W2*1 OK(411-#3056)
25/3/27 W2*1 OK(411-#5509)
</t>
      </text>
    </comment>
    <comment ref="H17" authorId="0" shapeId="0">
      <text>
        <t xml:space="preserve">guang:
4/17 出一台(三廠)
4/18 出一台(三廠)
4/24 W3*1 OK(648)
5/4 W3*1 OK(648)
5/5 出一台(三廠)
5/15 出一台(三廠)
6/3 W3*2 OK(648)
6/22 出一台(三廠)
6/30 出一台(三廠)
8/4 W3*1 OK(648)
8/31 W3*1 OK(648)
9/22 出一台(三廠)
11/3 W3*1 OK(648)
12/1 W3*1 OK(648)
1/15 出一台(三廠)
2/22 出一台(三廠)
4/9 出一台(三廠)
4/27 W3*1 OK(648)
5/28 出一台(三廠)
6/27 W3*1 OK(648)
6/28 出一台(三廠)
7/22 W3*1 OK(648)
7/26 W3*1 OK(648)(W2T溝處理OK)
8/7 W3*1 OK(648)
8/20 出一台(三廠)(W2T溝處理OK)
9/14 W3*1 OK(648)
9/19 W3*1 OK(648)
11/6 出一台(三廠)(HA18090401)
11/12 出一台-送台典磨(HA18071101)
12/15 W3*1 OK(648-X向)
12/17 出1台-X向-送台典磨(HA18120501)
12/19 W3*1 OK(648-X向)
12/19 出1台-X向-送台典磨(HA18121001)
guang:
特殊單+副軌-研磨-12/22入帳
1/4 出2台(三廠-HA18090301,HA18071101-研磨)
1/23 W3*1 OK(648)
2/20 W3*1 OK(648)
3/8 出1台(三廠-HA19011401)
3/13 出1台(三廠-HA18073001)
3/27 W3*1 OK(648)
3/24 出1台(三廠-HA19013101)
7/9 出1台(三廠-HA19031901-配機號:28131)
9/14 W3*1 OK(648)
9/15 出1台(台典研-HA20090301-配機號:28232)
12/14 W3*1 OK(648)
12/18 出1台(三廠-HA20112601-配機號:28328)
12/24 W3*1 OK(648)
21/1/27 出1台(三廠-HA20121501-配100000096)
3/31 W3*1 OK(648-000400000279)
4/1 出1台(三廠-HA21032501-100000182-000400000279)
4/19 W3*1 OK(648-812040082)(28T)
4/1 出1台(台典-HA21040601-100000576-000400000524)
5/14 W3*1 OK(648-000400000279)
5/17 出1台(三廠-HA21050501-100000424-000400000279)
7/2 W3*1 OK(648-000400001088)
7/5 出1台(三廠-HA21062401-100000590-000400001088)
7/26 W3*1 OK(648-000400001253)
8/18 出1台(三廠-HA21071601-100000468-000400001253)
9/7 W3*1 OK(648-000400001466)
9/29 出1台(三廠-HA21082401-100001130-000400001466)
12/3 W3*1 OK(648-000400001857-HA21111901)
22/5/20 W3*1 OK(648-HA22050601-000400002347)
22/6/8 出1台(三廠-HA21111901-100001744-000400001857)
7/11 出1台(三廠-HA22060601-100001931-000400002347)
8/26 W3*1 OK(648-HA22080801-000400003006)
guang:
23/7/28 出1台(三廠-HA22080801-100002411-000400003006)
24/11/1 W3*1 OK(648-000400005056)
11/12 出1台(三廠-HA24101701-100002948-000400005056)
25/3/31 W3*1 OK(648-000400005509)
4/22 出1台(三廠-HA25031801-100003172-000400005509)
</t>
      </text>
    </comment>
    <comment ref="C18" authorId="1" shapeId="0">
      <text>
        <t xml:space="preserve">ralf:
正常厚度Y向(408旁)
3/10 入1台(YZ)
4/6 入1台(YZ)
guang:
7/28 入1台(YZ)
10/19 入1台(YZ)
1/3 入1台(YZ)
2/2 入1台(YZ)
4/23 入1台(YZ)
8/14 入1台(YZ)
11/16 入1台(YZ-換)
12/13 入1台(YZ)
22/3/23 入1台(YZ-#2507)
5/3 入1台(YZ-#2732)
8/8 入1台(LD-#3007)
guang:
hsinwei:
25/5/7 入1台(LD-#5640)
</t>
      </text>
    </comment>
    <comment ref="D18" authorId="0" shapeId="0">
      <text>
        <t xml:space="preserve">guang:
3/30 W1*1 OK(408)
5/3 W1*1 OK(408)
6/26 W1*1 OK(408)
8/4 W1*1 OK(408)
10/25 W1*1 OK(408)
1/11 W1*1 OK(408)
2/26 W1*1 OK(408)
5/2 W1*1 OK(408)
7/18 W1*1 OK(409)
11/20 W1*1 OK(408)
21/12/23 W1*1 OK(408-2039)
22/3/31 W1*1 OK(409-#2507)
5/19 W1*1 OK(409-#2732)
8/18 W1*1 OK(409-#3007)
25/6/5 W1*1 OK(409-#5640)
</t>
      </text>
    </comment>
    <comment ref="E18" authorId="0" shapeId="0">
      <text>
        <t xml:space="preserve">guang:
4/11 W2*1 OK(351)
5/9 W2*1 OK(351)
7/20 W2*1 OK(351)
8/16 W2*1 OK(351)
11/8 W2*1 OK(351)
1/23 W2*1 OK(411)
3/7 W2*1 OK(351)
5/11 W2*1 OK(351)
10/13 W2*1 OK(351)
12/2 W2*1 OK(351)
22/1/7 W2*1 OK(351-#2039)
4/13 W2*1 OK(351-#2507)
6/6 W2*1 OK(351-#2732)
8/31 W2*1 OK(351-#3007)
25/6/16 W2*1 OK(351-#5640)
</t>
      </text>
    </comment>
    <comment ref="H18" authorId="2" shapeId="0">
      <text>
        <t xml:space="preserve">citrixadm:
11/18  庫存2 搭配台點那台底座用
2/23 出1台
4/13 W3*1 OK(648)
5/12 W3*1 OK(648)
5/31 出1台
6/8 出1台
7/26 W3*1 OK(648)
8/21 W3*1 OK(648)
8/24 出1台
9/7 出1台
11/10 W3*1 OK(648)
11/13 出1台(3廠)
2/5 W3*1 OK(648)
3/12 W3*1 OK(648)
5/16 W3*1 OK(648)
5/21 出1台(3廠)
4/3 出1台(3廠-HA18050202)
8/11 出1台(3廠-HA18011102-配28190)
10/15 W3*1 OK(648)-T溝破孔
11/16 出1台(YZ-T溝破孔)
12/3 W3*1 OK(648)
12/7 出1台(送台典研-HA20112001-機號:28309)
22/1/12 W3*1 OK(648-#2039)
22/1/14 出1台(3廠-HA21122301-100001255-000400002039)
4/13 W3*1 OK(648-#2507)
4/19 出1台(3廠-HA22033101-100001545-000400002507)
6/9 W3*1 OK(648-#2732)
6/29 出1台(3廠-HA22051901-100001735-000400002732)
9/2 W3*1 OK(648-#3007)
9/8 出1台(3廠-HA22081801-100001903-000400003007)
25/6/18 W3*1 OK(648-#5640)
6/26 出1台(3廠-HA25060501-100003301-000400005640)
</t>
      </text>
    </comment>
    <comment ref="J18" authorId="1" shapeId="0">
      <text>
        <t>ralf:
3快加厚,1結晃還有一塊加厚</t>
      </text>
    </comment>
    <comment ref="C19" authorId="0" shapeId="0">
      <text>
        <t xml:space="preserve">guang:
11/9 入1台(YJF)
7/20 入1台(YJF)
5/10 入1台(YJF)
4/23 入1台(YJF)
5/18 入1台(YJF)
21/6/28 入1台(YJF)
9/28 入1台(YJF)
10/27 入1台(YJF)
23/3/8 入1台(YJF-#3425)
5/2 入1台(YJF-#3511)
24/5/15 入1台(YJF-#4614)
guang:
25/3/19 入1台(YJF-#5533)hsinwei:
7/30 入1台(YJF-#5890)
</t>
      </text>
    </comment>
    <comment ref="D19" authorId="0" shapeId="0">
      <text>
        <t xml:space="preserve">guang:
11/10 W1*1 OK(523)
10/2 W1*1 OK(408)
5/14 W1*1 OK(408)
4/29 W1*1 OK(408)
5/22 W1*1 OK(408)
21/7/2 W1*1 OK(408)
10/7 W1*1 OK(408-1712)
12/2 W1*1 OK(408-1868)
guang:
23/3/20 W1*1 OK(813-#3425)
5/8 W1*1 OK(813-#3511)
24/6/3 W1*1 OK(813-#4614)
25/3/28 W1*1 OK(813-#5533)
8/5 W1*1 OK(813-#5890)
</t>
      </text>
    </comment>
    <comment ref="E19" authorId="0" shapeId="0">
      <text>
        <t xml:space="preserve">guang:
11/17 W2*1 OK(351)
12/19 W2*1 OK(351)
5/21 W2*1 OK(351)
5/12 W2*1 OK(411)
6/2 W2*1 NG(411-砂孔)
6/4 出1台(源潤豐載回)
21/7/29 W2*1 OK(351-1159)
11/17 W2*1 OK(351-1712)
12/13 W2*1 OK(351-1868)
23/3/29 W2*1 OK(351-#3425)
5/23 W2*1 OK(351-#3511)
guang:
24/6/12 W2*1 OK(351-#4614)
25/4/9 W2*1 OK(411-#5533)
8/13 W2*1 OK(351-#5890)
</t>
      </text>
    </comment>
    <comment ref="H19" authorId="0" shapeId="0">
      <text>
        <t>guang:
11/21 W3*1 OK(648)
11/23 出1台(3廠)
guang:
借放
12/20 W3*1 OK(648)
12/24 出1台(3廠-傑晃)
2/25 出1台(三廠-HA18100201)
5/21 W3*1 OK(648)
5/23 出1台(三廠-HA19051401)
5/13 W3*1 OK(648)
5/14 出1台(三廠-HA20042901- 機號:28062)
21/8/3 W3*1 OK(648-1159)
10/14 出1台(三廠-HA21070201-100000816-000400001159)
12/6 W3*1 OK(648-1712)
12/15 W3*1 OK(648-1868)
22/1/14 出1台(三廠-HA21120201-100001093-000400001868)
001289:
22/10/25 出1台(三廠-HA21100701-100002000-000400001712)
guang:
23/4/11 W3*1 OK(648-#3425)
4/24 出1台(三廠-HA23032001-100002221-000400003425)
5/24 W3*1 OK(648-#3511)
6/1 出1台(三廠-HA23050801-100002297-000400003511)
guang:
24/6/14 W3*1 OK(648-#4614)
7/2 出1台(三廠-HA24060301-100002748-000400004614)
25/4/10 W3*1 OK(648-#5533)
5/19 出1台(三廠-HA25032801-100003170-000400005533)
8/20 W3*1 OK(648-#5890)
8/21 出1台(三廠-HA25080501-100003320-000400005890)</t>
      </text>
    </comment>
    <comment ref="C20" authorId="0" shapeId="0">
      <text>
        <t xml:space="preserve">guang:
7/23 入1台(YZ)
8/28 入1台(YZ)
10/31 入1台(YZ)
1/16 入1台(YZ)
2/27 入1台(YZ)
8/13 入1台(YZ)
2/5入1台(YZ)
3/26入1台(YZ)
9/7入1台(YZ-換)
21/10/6入1台(YZ)
23/6/21入1台(LD-#3628)
9/25入1台(LD-#3872)
guang:
24/9/19 入1台(LD-#5007)
10/30 入1台(LD-#5123)
25/8/5 入1台(LD-#5900)
</t>
      </text>
    </comment>
    <comment ref="D20" authorId="0" shapeId="0">
      <text>
        <t xml:space="preserve">guang:
12/22 W1*1 OK(523)
7/27 W1*1 OK(408)
10/3 W1*1 OK(408)
11/14 W1*1 OK(408)
1/29 W1*1 OK(408)
3/7 W1*1 OK(408)
8/22 W1*1 OK(408)
2/10 W1*1 OK(408)
7/8 W1*1 OK(408)
9/14 W1*1 OK(408)
21/10/12 W1*1 OK(408)
23/7/6 W1*1 OK(813-#3628)
9/28 W1*1 OK(813-#3872)
guang:
24/9/24 W1*1 OK(813-#5007)
11/5 W1*1 OK(813-#5123)
25/8/9 W1*1 OK(813-#5900)
</t>
      </text>
    </comment>
    <comment ref="E20" authorId="0" shapeId="0">
      <text>
        <t xml:space="preserve">guang:
8/8 W2*1 OK(351)
1/29 W2*1 OK(351)
8/2 W2*1 OK(351)
10/12 W2*1 OK(351)
11/30 W2*1 OK(351)
2/15 W2*1 OK(411)
3/15 W2*1 OK(351)
9/10 W2*1 OK(351)
2/20 W2*1 OK(351)
7/29 W2*1 NG(411)-正面砂孔太多
8/12 重新加工-QC允收
8/21 W2*1 NG(411)-判定報廢
9/7 出1台(YZ載回-正面砂孔)
6/24 W2*1 OK(351)
21/10/20 W2*1 OK(411-1749)
23/7/17 W2*1 OK(351-#3628)
10/12 W2*1 OK(351-#3872)
24/10/5 W2*1 OK(411-#5007)
11/13 W2*1 OK(411-#5123)
25/8/21 W2*1 OK(411-#5900)
</t>
      </text>
    </comment>
    <comment ref="H20" authorId="0" shapeId="0">
      <text>
        <t>guang:
8/16 W3*1 OK(648)
11/8 出1台(本廠)
2/6 W3*1 OK(648)
4/9 出一台(三廠)
8/7 W3*1 OK(648)
8/29 出一台(三廠)
10/16 W3*1 OK(648)
11/6 出一台(三廠)(HA18090401)
12/3 W3*1 OK(648)
12/21 出一台(三廠)(HA18111401)
2/18 W3*1 OK(648)
3/18 W3*1 OK(648)
3/20 出一台(三廠)(HA19012901)
4/16 出一台(三廠)(HA19030701)
9/17 W3*1 OK(648)
10/07 出一台(三廠)(HA19082201)
2/21 W3*1 OK(648)
2/27 出一台(三廠)(HA20021001)
9/28 W3*1 OK(648)
12/30 出1台(3廠-HA20091401)(28339)
21/10/21 W3*1 OK(648-HA21101201-1749)
10/27 出1台(3廠-HA21101201-100000817-000400001749)
23/7/18 W3*1 OK(648-#3628)
7/24出1台(3廠-HA23070601-100002466-000400003628)
10/13 W3*1 OK(648-#3872)
10/16出1台(3廠-HA23092701-100002503-000400003872)
24/10/15 W3*1 OK(648-#5007)
10/30出1台(3廠-HA24092401-100002869-000400005007)
11/14 W3*1 OK(648-#5123)
11/27 出1台(3廠-HA24110501-100002929-000400005123)
25/8/28 W3*1 OK(648-#5900)
12/4 出1台(台典研-HA25080901-100003360-000400005900)</t>
      </text>
    </comment>
    <comment ref="C21" authorId="0" shapeId="0">
      <text>
        <t xml:space="preserve">guang:
409旁(YZ)
6/3 入1台(YZ)
8/18 入1台(YZ)
9/11 入1台(YZ)
11/28 入1台(YZ)
12/11 入1台(YZ)
6/10 入1台(YZ)
7/14 入1台(YZ-換)
22/7/11 入1台(LD-#2929)
23/11/9 入1台(LD-#4026)
</t>
      </text>
    </comment>
    <comment ref="D21" authorId="0" shapeId="0">
      <text>
        <t xml:space="preserve">guang:
6/27 W1*1 OK(408)
8/25 W1*1 OK(408)
8/29 W1*1 OK(408)
12/15 W1*1 OK(523)
12/18 W1*1 OK(408)
12/20 W1*1 OK(408)
6/17 W1*1 OK(408)
7/20 W1*1 OK(408)
guang:
22/7/14 W1*1 OK(409-#2929)
guang:
23/11/20 W1*1 OK(409-#4026)
</t>
      </text>
    </comment>
    <comment ref="E21" authorId="0" shapeId="0">
      <text>
        <t xml:space="preserve">guang:
7/14 W2*1 OK(351)
9/20 W2*1 OK(351)
9/28 W2*1 OK(351)
1/20 W2*1 OK(351)
1/5 W2*1 OK(351)
1/14 W2*1 OK(351)
7/3 W2*1 OK(351)
7/22 W2*1 OK(351)
guang:
22/7/28 W2*1 OK(351-#2929)
guang:
24/1/15 W2*1 OK(351-#4026)
</t>
      </text>
    </comment>
    <comment ref="H21" authorId="0" shapeId="0">
      <text>
        <t xml:space="preserve">guang:
7/19 W3*1 OK(648)
8/21 出1台(3廠)
9/22 W3*1 OK(648)
9/30 W3*1 OK(648)
10/16 出1台(3廠)
10/23 出1台(3廠)
1/24 W3*1 OK(648)
5/21 出1台(3廠)
1/8 W3*1 OK(648)
1/17 W3*1 OK(648)
5/12 出1台(3廠-HA18122001-配28076)
5/13 出1台(3廠-HA18121801-配26808)
7/6 W3*1 OK(648)
7/7 出1台(3廠-HA20061701-裝二砂孔換)
7/30 W3*1 OK(648)
7/31 出1台(3廠-HA20072001-配26809)
guang:
22/8/1 W3*1 OK(648-000400002929)
8/5 出1台(3廠-HA2207140101-100001755-000400002929)
guang:
24/1/16 W3*1 OK(648-000400004026)--溝破孔
</t>
      </text>
    </comment>
    <comment ref="L21" authorId="0" shapeId="0">
      <text>
        <t xml:space="preserve">guang:
24/1/16 W3*1 OK(648-000400004026)--溝破孔
guang:
2/29 出1台(LD-#4026-報廢-T溝破孔)
</t>
      </text>
    </comment>
    <comment ref="C22" authorId="0" shapeId="0">
      <text>
        <t xml:space="preserve">guang:
1/22 入1台(YZ)
hsinwei:
25/10/9 入1台(LD-#5987)
</t>
      </text>
    </comment>
    <comment ref="D22" authorId="0" shapeId="0">
      <text>
        <t>guang:
2/11 W1*1 OK(523)hsinwei:
25/10/17 W1*1 OK(813-#5987)</t>
      </text>
    </comment>
    <comment ref="E22" authorId="0" shapeId="0">
      <text>
        <t>guang:
2/19 W2*1 OK(523)
25/11/4 W2*1 OK(351-#5987)</t>
      </text>
    </comment>
    <comment ref="H22" authorId="1" shapeId="0">
      <text>
        <t>ralf:
648前
3/21 出1台(三廠)
guang:
2/21 W3*1 OK(648)
4/24 出1台(三廠-HA19013102)
25/11/25 W3*1 OK(648-#5987)
12/2 出1台(三廠-HA25101701-100003370-#5987)</t>
      </text>
    </comment>
    <comment ref="C23" authorId="0" shapeId="0">
      <text>
        <t xml:space="preserve">guang:
4/10 入1台(YZ)
hsinwei:
25/7/24 入1台(LD-#5877)
hsinwei:
</t>
      </text>
    </comment>
    <comment ref="D23" authorId="0" shapeId="0">
      <text>
        <t xml:space="preserve">guang:
4/23 W1*1 OK(408)hsinwei:
25/8/19 W1*1 OK(813-#5877)
</t>
      </text>
    </comment>
    <comment ref="E23" authorId="0" shapeId="0">
      <text>
        <t xml:space="preserve">guang:
5/11 W2*1 OK(351)hsinwei:
25/9/9 W2*1 OK(351-#5877)
</t>
      </text>
    </comment>
    <comment ref="H23" authorId="0" shapeId="0">
      <text>
        <t xml:space="preserve">guang:
5/20 W3*1 OK(648)
guang:
5/28 出1台(三廠-HA20042101-機號:27969)
25/9/16 W3*1 OK(648-#5877)
9/30 出1台(三廠-HA25081901-100003325-000400005877)
</t>
      </text>
    </comment>
    <comment ref="C24" authorId="0" shapeId="0">
      <text>
        <t xml:space="preserve">guang:
5/19 入1台(YK)
6/12 入2台(YK)
6/15 入1台(YK)
6/22 入1台(YK)
1/9 入1台(YK)
5/16 入1台(YZ)
6/7 入1台(YK)
6/14 入2台(YZ)
long:
6/21 入3台(YZ)
6/22入4台(YZ1台X向)
6/25 入3台(YK)
6/28 入1台(YK)
7/10 入1台(YZ)
8/17 入2台(YK)
9/13 入4台(YZ)
9/25 入1台(YK)(補件)
9/28 入1台(YK)(補件)
10/11 入1台(YK)(補件)
10/28 入1台(YK)
11/26 入1台(YZ)
21/1/5 入2台(YZ)
7/12 入1台(YZ)
9/7 入1台(YZ)
9/13 入1台(YZ)
10/21 入1台(YZ)
22/2/23 入1台(YZ-#2325)
2/23 入1台(YZ-#1642)
25/6/4 入1台(LD-#2338)
6/4 入1台(LD-#5778)
</t>
      </text>
    </comment>
    <comment ref="D24" authorId="0" shapeId="0">
      <text>
        <t xml:space="preserve">guang:
5/10 W1*1 OK(408)
5/11 W1*1 OK(408)
6/21 W1*1 OK(408)
6/22 W1*2 OK(408)
7/7 W1*1 OK(408)
8/11 W1*1 OK(408)
1/12 W1*1 OK(408)
5/23 W1*1 OK(408)
6/26 W1*1 OK(408)
6/27 W1*1 OK(408)(X向)
6/27 W1*1 OK(408)
7/5 W1*2 OK(408)
7/6 W1*1 OK(408)
7/7 W1*1 OK(408)
7/9 W1*1 OK(408)
8/6 W1*1 OK(408)
8/7 W1*2 OK(408)
8/14 W1*1 OK(813)
8/15 W1*1 OK(408)
8/16 W1*2 OK(408)
8/30 W1*1 OK(408)
8/31 W1*1 OK(408)
9/18 W1*1 OK(408)
9/19 W1*2 OK(408)
9/20 W1*1 OK(408)
10/9 W1*1 OK(408)-沒工號
10/11 W1*1 OK(408)
11/7 W1*1 OK(408)
11/13 W1*1 OK(408)
12/18 W1*1 OK(408)
21/1/11 W1*1 OK(408)
1/15 W1*1 OK(408)
8/12 W1*1 OK(408-1251)
12/15 W1*1 OK(408-1605)
12/16 W1*1 OK(408-1642)
12/20 W1*1 OK(408-270)
22/7/19 W1*1 OK(409-#270)
7/20 W1*1 OK(409-#2325)
25/6/27 W1*1 OK(813-#5778)
6/30 W1*1 OK(813-#2338)
hsinwei:
hsinwei:
</t>
      </text>
    </comment>
    <comment ref="E24" authorId="0" shapeId="0">
      <text>
        <t xml:space="preserve">guang:
5/27 W2*1 OK (411)
5/31 W2*1 OK (411)
7/14 W2*1 OK (648)
7/19 W2*1 OK (410)
7/20 W2*1 OK (410)
7/21 W2*1 OK (410)
8/23 W2*1 OK (410)
1/16 W2*1 OK (410)
6/8 W2*1 OK (648)
6/29 W2*1 OK (411)
6/30 W2*1 OK (411)
7/9 W2*1 OK (411)
7/9 W2*1 OK (410)
7/10 W2*1 OK (411)
7/10 W2*1 OK (351)
7/11 W2*1 OK (410)
7/30 W2*1 OK (411-X向)
8/9 W2*1 OK (410)
8/11 W2*1 OK (410)
8/13 W2*1 OK (410)
8/15 W2*1 OK (410)
8/16 W2*1 OK (410)
8/17 W2*1 OK (411)
8/18 W2*1 OK (411)
9/20 W2*1 OK (411)
9/21 W2*1 OK (411)
9/25 W2*1 OK (411)
9/26 W2*1 OK (411)
9/27 W2*1 OK (411)
9/28 W2*1 OK (411)
10/16 W2*1 OK (411)
10/17 W2*1 OK (411)
11/14 W2*1 OK (411-拉刀)
21/1/14 W2*1 OK (411)
1/21 W2*1 OK (411)
8/23 W2*1 OK (411-1251)
12/22 W2*1 OK (411-1605)
12/24 W2*1 OK (411-1642)
12/28 W2*1 OK (411-0270)
guang:
22/8/1 W2*1 OK (411-#2325)
8/3 W2*1 OK (411-#270)
25/7/7 W2*1 OK (411-#5778)
7/10 W2*1 OK (411-#2338)
</t>
      </text>
    </comment>
    <comment ref="G24" authorId="0" shapeId="0">
      <text>
        <t xml:space="preserve">guang:
3/7 W4*1 OK
3/7 W4*1 OK
6/2 W4*2 OK(648)
7/17 W4*1 OK
7/20 W4*2 OK(648)
7/24 W4*1 OK(648)
7/25 W4*1 OK(648)
8/24 W4*1 OK(648)
1/16 W4*1 OK(648)
6/13 W4*1 OK(648)
7/3 W4*1 OK(648)
7/4 W4*1 OK(648)
7/11 W4*1 OK(648)
7/12 W4*3 OK(648)
7/13 W4*1 OK(648)
7/31 W4*1 OK(648)-X向
8/14 W4*2 OK(648)
8/15 W4*1 OK(648)
8/17 W4*3 OK(648)
8/22 W4*1 OK(648)
9/21 W4*1 OK(648)
9/25 W4*1 OK(648)
9/26 W4*1 OK(648)
9/27 W4*1 OK(648)
9/28 W4*1 OK(648)
10/2 W4*1 OK(648)
10/17 W4*1 OK(648)
10/18 W4*1 OK(648)
11/15 W4*1 OK(648)
1/6 W4*2 OK(648)
1/15 W4*1 OK(648)
1/21 W4*1 OK(648)
21/8/25 W4*1 OK(648-1251)
12/22 W4*1 OK(648-1605)
12/28 W4*1 OK(648-1642)
12/30 W4*1 OK(648-0270)
22/8/5 W4*1 OK(648-#270)
8/5 W4*1 OK(648-#2325)
25/7/11 W4*1 OK(648-#5778)
7/14 W4*1 OK(648-#2338)
</t>
      </text>
    </comment>
    <comment ref="H24" authorId="0" shapeId="0">
      <text>
        <t>guang:
3/10 W5*2 OK
3/13 出1台
4/27 出1台
5/19 入2台(傑浩)
6/6 出1台(傑晃入料)
6/21 W5*1 OK
6/22 W5*1 OK
7/20 W5*1 OK
7/27 出1台(6路)
7/28 W5*1 OK
7/31 W5*1 OK
guang:
7/31 入2台(傑浩)
8/1 W5*1 OK
8/29 W5*1 OK
9/28 出1台(6路)
10/13 出2台(6路)
1/5 出2台(6路)
1/31 W5*1 OK(648)
3/6 出1台(6路)
4/18 出2台(6路)
4/26 出2台(6路)(傑晃)
4/26 退修1台(入)
5/9 退修1台(出)
5/23 入1台(傑浩)
5/23 出1台(傑浩)(6路)
6/15 W5*1 OK(648)
6/15 出1台(6路)
7/6 W5*1 OK(648)
7/9 W5*1 OK(648)
7/17 W5*2 OK(648)
7/18 W5*1 OK(648)
7/19 W5*1 OK(648)
7/20 W5*1 OK(648)
7/24 出2台(6路)
7/30 出2台(6路)
8/3 W5*1 OK(648)(X向)
8/8 出3台(6路)
8/16 W5*1 OK(648)
8/17 W5*1 OK(648)
8/20 W5*1 OK(648)
8/22 W5*1 OK(648)
8/23 W5*1 OK(648)
8/27 W5*2 OK(648)
8/29 出1台(6路)(X向)
8/29 出2台(6路)
8/30 出1台(6路)
9/14 出3台(6路)
9/27 W5*1 OK(648)
10/1 W5*1 OK(648)
10/2 W5*1 OK(648)
10/3 W5*1 OK(648)
10/4 W5*1 OK(648)
10/5 W5*1 OK(648)
10/9 出1台(6路)
10/12 出2台(6路)
10/22 W5*1 OK(648)
10/23 W5*1 OK(648)
11/19 W5*1 OK(648-拉刀))
2/27 出1台(6路-HA18092002)
3/29 出1台(6路-HA18083101)
4/16 出1台(6路-HA18110701)
5/21 出2台(6路-HA18083002，HA18091901)
10/8 出1台(轉傑晃改氣浮-HA18101101)
1/13 W5*1 OK(648-更改氣浮)
1/30 W5*1 OK(648-氣浮)
2/4 W5*1 OK(648-氣浮)
7/29 出1台(6路-HA19111301-配28007)
8/7 出1台(6路-HA19121801-配28007)
8/7 入1台(HA19111301-配28007-側邊特凱皮過薄)
11/10 出1台(6路-HA19111301-配28332)
21/1/20 W5*1 OK(648-氣浮)
1/27 W5*1 OK(648-氣浮)
5/19 出1台(三廠-氣浮-HA21011501-000400000072)
5/24 出1台(三廠-氣浮-HA21011101-000400000072)
6/25 入1台(三廠-氣浮-HA21011101-000400000072)
8/31 W5*1 OK(648-氣浮-000400001251)
11/30 再出1台(三廠-氣浮-HA21011101-100000998-000400000072)
12/28 W5*1 OK(648-氣浮-000400001642)
22/1/3 W5*1 OK(648-氣浮-000400001605)
1/5 W5*1 OK(648-氣浮-000400000270)
3/8 出1台(本廠-氣浮-HA21122001-100001504-000400000270)
4/14 出1台(本廠-氣浮-HA21081201-100001627-000400001251)
8/22 W5*1 OK(648-氣浮-000400002325)
8/25 W5*1 OK(648-氣浮-000400000270)
9/8 出1台(本廠-氣浮-HA21121601-100001995-000400001642)
24/2/27 出1台(本廠-氣浮-HA22071901-100002745-000400000270)
7/12 出1台(本廠-氣浮-HA22022001-100002906-000400002325)
25/6/17 出1台(本廠-氣浮-HA21121501-100003299-000400001605)
7/18 W5*1 OK(648-氣浮-000400005778)
11/3 W5*1 OK(648-氣浮-000400002338)</t>
      </text>
    </comment>
    <comment ref="C25" authorId="0" shapeId="0">
      <text>
        <t xml:space="preserve">guang:
2/18 入1台(YK)
8/22 入1台(YK)
8/30 入1台(YK)
12/12 入1台(YK)
1/5 入3台(YK)
guang:
25/1/17 入1台(YK-#5390)
</t>
      </text>
    </comment>
    <comment ref="D25" authorId="0" shapeId="0">
      <text>
        <t xml:space="preserve">guang:
8/8 W1*1報廢
8/23 W1*1 OK(408)
9/23 W1*1 OK(408)
12/20 W1*1 OK(523)
1/13 W1*1 OK(408)
1/15 W1*1 OK(408)
1/16 W1*1 OK(408)
guang:
3/12 移入報廢鑄件*1
25/2/4 W1*1 OK(409-#5390)
</t>
      </text>
    </comment>
    <comment ref="E25" authorId="0" shapeId="0">
      <text>
        <t xml:space="preserve">guang:
8/25 w2*1 ok(410)
9/30 w2*1 ok(410)
12/28 w2*1 ok(410)
1/17 w2*1 ok(410)
1/18 w2*1 ok(410)
1/19 w2*1 ok(410)
guang:
25/2/6 W2*1 OK(411-#5390)
</t>
      </text>
    </comment>
    <comment ref="G25" authorId="0" shapeId="0">
      <text>
        <t xml:space="preserve">guang:
8/25 W4*1 OK(648)
10/2 W4*1 OK(648)
1/2 W4*1 OK(648)
1/18 W4*1 OK(648)
1/23 W4*2 OK(648)
25/2/10 W4*1 OK(648-#5390)
</t>
      </text>
    </comment>
    <comment ref="H25" authorId="0" shapeId="0">
      <text>
        <t xml:space="preserve">guang:
8/28 W5*1 OK(648)
8/29 出1台(6路)
10/20 W5*1 OK(648)
12/13 出1台(本廠)
1/5 W5*1 OK(648)
1/29 W5*1 OK(648)
1/30 W5*1 OK(648)
1/31 W5*1 OK(648)
3/7 出1台(6路)
7/30 出1台(6路)
7/13 W5*2 OK(改氣浮)
7/27 出1台(6路-HA17122001-28164)-正面砂孔
9/11 出1台(6路-HA18011502-28164)
guang:
25/2/13 W5*1 OK(648-#5390)
2/18 出1台(展機用-HA25020401-#5390)
4/16 出1台(三廠-HA25020401-#5390-1100003255)
</t>
      </text>
    </comment>
    <comment ref="C26" authorId="0" shapeId="0">
      <text>
        <t xml:space="preserve">guang:
1/13出2台(轉隆昇加工)
9/26 入1台(YK)(補件)
10/12入1台(YK)(補件)
9/29入1台(YK)
21/1/21入1台(YK)
2/2 退1台(鑄造不良)
4/12入1台(YK)
</t>
      </text>
    </comment>
    <comment ref="D26" authorId="0" shapeId="0">
      <text>
        <t xml:space="preserve">guang:
9/28 W1*1 OK(408)
10/18 W1*1 OK(408)
10/6 W1*1 OK(408)
21/4/21 W1*1 OK(408)
</t>
      </text>
    </comment>
    <comment ref="E26" authorId="0" shapeId="0">
      <text>
        <t xml:space="preserve">guang:
10/2 W2*1 OK(410)
10/27 W2*1 OK(410)
10/8 W2*1 OK(411)
21/5/6 W2*1 OK(411)
</t>
      </text>
    </comment>
    <comment ref="G26" authorId="0" shapeId="0">
      <text>
        <t xml:space="preserve">guang:
10/3 W4*1 OK(648)
10/30 W4*1 OK(648)
10/12 W4*1 OK(648)
21/5/7 W4*1 OK(648)
</t>
      </text>
    </comment>
    <comment ref="H26" authorId="0" shapeId="0">
      <text>
        <t xml:space="preserve">guang:
10/11 W5*1 OK(648)
10/13出1台(6路)-T22
11/6 W5*1 OK(648)
3/6 出1台(6路-HA17101702)
11/11 W5*1 OK(648-改氣浮)
11/11 出1台(6路-HA15060102-改氣浮)
11/21 W5*1 OK(648-改氣浮)
1/6 出1台(6路-HA15060101-改氣浮)
10/14 W5*1 OK(648-氣浮)
10/23 出1台(本廠-HA20100601-機號:27270)
21/5/11 W5*1 OK(648-氣浮-000400000115)
22/8/18 出1台(本廠-HA21042101-100001825-000400000115)
</t>
      </text>
    </comment>
    <comment ref="C27" authorId="0" shapeId="0">
      <text>
        <t>guang:
2/2 入1台(YZ)
7/12 入1台(YK)
7/18 入1台(YK)
8/4 入1台(YK)
3/20 入1台(YK)
4/11 入1台(YZ)
6/28 入1台(YZ)
9/17 入1台(YZ)(換)
8/19 入1台(YZ)
21/1/18 入1台(YZ)
1/28 入1台(YZ)
2/22 入1台(YZ)
4/12 入1台(YK)
6/21 入1台(YK)
7/6 入1台(YZ)
7/27 入2台(YZ)
8/20 入3台(YZ)
8/27 入1台(YZ)
22/2/18 入1台(YZ-#2307)
9/1 入1台(LD-#3089)(2)
9/8 入1台(LD-#3089)
9/21 入1台(LD-#3133)(2)
10/12 入1台(LD-#3133)
001289:
11/8 入1台(LD-#3133)換
11/17 入1台(LD-#3133)換
guang:
12/8 入1台(LD-#3133)換
23/1/11 入1台(LD-#3133)換
guang:
8/24 入2台(LD-#3807)
guang:
12/6 入1台(LD-#4101)
12/12 入1台(LD-#4113)
24/4/10 入1台(LD-#4473)
7/16 入1台(LD-#4473-換)
7/16 入1台(LD-#3807-換)
guang:
25/3/6 入2台(LD-#5517)
4/2 入2台(LD-#5517)-換
4/10 入1台(YK-#5644)
4/22 入1台(LD-#5693)
10/27 入2台(LD-#6009)
12/04 入1台(YK-#6083)
26/1/2 入2台(LD-#6139)</t>
      </text>
    </comment>
    <comment ref="D27" authorId="0" shapeId="0">
      <text>
        <t>guang:
7/26 W1*1 OK(408)
7/27 W1*1 OK(408)
8/30 W1*1 OK(408)
3/29 W1*1 OK(813)
4/15 W1*1 OK(408)
7/15 W1*1 OK(408)
9/24 W1*1 OK(408)
8/25 W1*1 OK(409)
21/1/21 W1*1 OK(408)
2/3 W1*1 OK(408)
3/17 W1*1 OK(408-000400000194)
5/17 W1*1 OK(408-000400000271)
7/7 W1*1 OK(408-000400000579)
7/9 W1*1 OK(408-1821070038)
7/31 W1*1 OK(408-000400001335)
8/3 W1*1 OK(408-000400001335)
8/27 W1*1 OK(408-000400001482)
8/28 W1*1 OK(408-000400001482)
9/3 W1*1 OK(408-000400001482)
9/17 W1*1 OK(408-000400001556)
22/5/16 W1*1 OK(409-#2307)
9/7 W1*1 OK(409-#3089)
9/16 W1*1 OK(409-#3089)
9/29 W1*1 OK(409-#3133)
001289:
10/18 W1*1 OK(409-#3133)
11/15 W1*1 OK(813-#3133)
12/14 W1*1 OK(813-#3133)換2次
23/2/7 W1*1 OK(409-#3133)換2次
8/28 W1*1 OK(410-#3807)
8/31 W1*1 OK(410-#3807)
12/8 W1*1 OK(813-#4101)
12/19 W1*1 OK(409-#4113)
8/8 W1*1 OK(409-#4473)
8/9 W1*1 OK(409-#3807)
guang:
25/4/9 W1*1 OK(410-#5517)-換
4/14 W1*1 OK(410-#5517)
4/22 W1*1 OK(410-#5644)
6/25 W1*1 OK(813-#5693)
10/29 W1*1 OK(813-#6009)
11/4 W1*1 OK(813-#6009)
1/12 W1*1 OK(409-#6083)</t>
      </text>
    </comment>
    <comment ref="E27" authorId="0" shapeId="0">
      <text>
        <t>guang:
7/31 w2*1 ok(410)
8/4 w2*1 ok(410)
9/2 w2*1 ok(410)
4/8 W2*1 ok(411)
4/17 W2*1 OK(411)
7/22 W2*1 OK(411)
11/15 W2*1 OK(411)
9/10 W2*1 OK(411)
21/1/25 W2*1 OK(411)
2/8 W2*1 OK(411)
3/24 W2*1 OK(351)
5/19 W2*1 OK(411)
7/10 W2*1 OK(411-579)
7/13 W2*1 OK(411-1098)
8/6 W2*1 OK(411-1335)
8/9 W2*1 OK(411-1335)
9/3 W2*1 OK(411-1482)
9/10 W2*1 OK(411-1482)
9/14 W2*1 OK(411-1482)
9/24 W2*1 OK(411-1556)
22/5/20 W2*1 OK(411-#2307)
9/13 W2*1 OK(411-#3089)
10/21 W2*1 OK(411-#3089)
guang:
12/19 W2*1 OK(411-#3133)
23/2/10 W2*1 OK(351-#3133)
8/31 W2*1 OK(351-#3807-砂孔)
9/6 W2*1 OK(351-#3807)
9/6 出1台(LD載回-#3807-砂孔)
12/13 W2*1 OK(411-#4101)
12/22 W2*1 OK(411-#4113)
guang:
24/5/20 W2*1 NG(411-#4473)
8/13 W2*1 OK(411-#4473)
8/23 W2*1 OK(411-#3807)
25/4/14 W2*1 OK(411-#5517)
4/17 W2*1 OK(411-#5517)-換guang:
4/25 W2*1 OK(411-#5644)
7/2 W2*1 OK(411-#5693)
11/6 W2*1 OK(411-#6009)
11/11 W2*1 OK(351-#6009)
12/18 W2*1 OK(411-#6083)</t>
      </text>
    </comment>
    <comment ref="G27" authorId="0" shapeId="0">
      <text>
        <t>guang:
8/1 W4*1 OK(648)
8/5 W4*1 OK(648)
9/5 W4*1 OK(648)
4/9 W4*1 OK(648)
4/18 W4*1 OK(648)
7/29 W4*1 OK(648)
11/18 W4*1 OK(648)
9/10 W4*1 OK(648)
21/1/26 W4*1 OK(648)
2/17 W4*1 OK
3/26 W4*1 OK
5/20 W4*1 OK
7/13 W4*1 OK(648-579)
7/14 W4*1 OK(648-1098)
8/9 W4*1 OK(648-1335)
8/10 W4*1 OK(648-1335)
9/6 W4*1 OK(648-1482)
9/13 W4*1 OK(648-1482)
9/15 W4*1 OK(648-1482)
9/27 W4*1 OK(648-1556)
22/5/26 W4*1 OK(648-#2307)
9/14 W4*1 OK(648-#3089)
9/23 W4*1 OK(648-#3089)
guang:
12/20 W4*1 OK(648-#3133)
23/2/13 W4*1 OK(648-#3133)
9/7 W4*1 OK(648-#3807)
12/13 W4*1 OK(648-#4101)
12/26 W4*1 OK(648-#4113)
guang:
24/8/19 W4*1 OK(648-#4473)
8/26 W4*1 OK(648-#3807)
25/4/16 W4*1 OK(648-#5517)
4/22 W4*1 OK(648-#5517)
4/29 W4*1 OK(648-#5644)
7/3 W4*1 OK(648-#5693)
11/7 W4*1 OK(648-#6009)
11/14 W4*1 OK(648-#6009)
12/24 W4*1 OK(648-#6083)</t>
      </text>
    </comment>
    <comment ref="H27" authorId="0" shapeId="0">
      <text>
        <t>guang:
2/9 出1台
2/21 出1台
5/19 入1台(傑浩)
6/14 出1台(傑浩)
8/7 W5*1 OK(648)
8/9 W5*1 OK(648)
9/8 W5*1 OK(648)
12/8 出1台(本廠)
1/16 入2台(傑浩)
1/23 出1台(6路)
2/22 出1台(6路)
3/16 入1台(傑浩)
5/30 出1台(6路)(傑浩)
(無編號)
8/8 出1台(6路)(傑浩)
9/28 出1台(6路)(傑浩-A18010201)
4/12 W5*1 OK(648)
4/16 出1台(6路-HA19032901)
4/24 W5*1 OK(648)
6/28 出1台(6路-HA19041501)
8/6 W5*1 OK(648-氣浮)
8/7 出1台(6路-HA19071501-氣浮)
8/8 入1台(訂單更改-HA19041501-已消單)
8/14 W5*1 OK(648-氣浮-更改)
8/19 出1台(6路-HA19041501-氣浮-退修)
12/3 W5*1 OK(648-氣浮)
3/16 出1台(6路-HA19092401-氣浮)
9/15 W5*1 OK(648-氣浮)
11/2 出1台(6路-氣浮-HA20082701--028215)
21/1/28 W5*1 OK(648-氣浮)
2/20 出1台(6路-氣浮-HA21012101-100000241)
2/22 W5*1 OK(648-氣浮)
4/7 W5*1 OK(648-氣浮-000400000194)
5/19 出1台(三廠-氣浮-HA21031701-000400000194)
5/19 出1台(三廠-氣浮-HA21020401-000400000271)
5/24 W5*1 OK(648-氣浮-000400000271)
7/8 出1台(三廠-氣浮-HA21051701-100000840-000400000271)
7/15 W5*1 OK(648-氣浮-000400000579)
7/19 W5*1 OK(648-氣浮-000400001098)
7/21 出1台(三廠-氣浮-HA21070701-100000887-000400000579)
8/11 出1台(三廠-氣浮-HA21070901-100000842-000400001098)
8/12 W5*1 OK(648-氣浮-000400001335)
8/13 W5*1 OK(648-氣浮-000400001335)
8/18 出1台(三廠-氣浮-HA21073101-100000844-000400001335)
9/14 W5*1 OK(648-氣浮-000400001482)
9/15 W5*1 OK(648-氣浮-000400001482)
9/24 W5*1 OK(648-氣浮-000400001482)
9/29 W5*1 OK(648-氣浮-000400001556)
12/9 出1台(三廠-氣浮-HA21090301-100001324-000400001482)
22/1/18 出1台(三廠-氣浮-HA21091701-100001325-000400001556)
5/30 W5*1 OK(648-氣浮-#2307)-特殊件
5/31 出1台(本廠-氣浮-HA22051601-100001742-000400002307)-特殊件
8/5 出1台(本廠-氣浮-HA21082801-100001939-000400001482)
9/5 出1台(本廠-氣浮-HA21082701-100001978-000400001482)
9/20 W5*1 OK(648-氣浮-000400003089)
9/28 W5*1 OK(648-氣浮-000400003089)
11/7 出1台(本廠-氣浮-HA22091601-100001979-000400003089)
001289:
11/11 出1台(本廠-氣浮-HA22090701-100001980-000400003089)
12/22 W5*1 OK(648-氣浮-000400003133)
23/2/3 出1台(三廠-氣浮-HA22121401-100001981-000400003133)
2/21 W5*1 OK(648-#3133)
6/27 出1台(三廠-氣浮-HA23020601-100002454-000400003133)
7/21 出1台(本廠-氣浮-HA21080301-100002455-000400001335)
9/12 W5*1 OK(648-#3807)
9/18 出1台(本廠-氣浮-HA23083101-100002459-000400003807)
12/18 W5*1 OK(648-#4101)
12/19 出1台(本廠-氣浮-HA23120801-100002588-000400004101)
12/28 W5*1 OK(648-#4113)
guang:
24/8/16 出1台(本廠-氣浮-HA23121901-100002875-000400004113)
8/27 W5*1 OK(648-#4473)
9/4 W5*1 OK(648-#3807)
25/2/24 出1台(本廠-氣浮-HA24081301-100003196-000400003807)
3/18 出1台(本廠-氣浮-HA24080801-100003123-000400004473)
4/23 W5*1 OK(648-#5517)
4/25 出1台(本廠-氣浮-HA25040901-100003197-000400005517)
guang:
5/5 W5*1 OK(648-#5644)
5/8 W5*1 OK(648-#5517)
5/9 出1台(本廠-氣浮-HA25042201-100003223-000400005644)
7/8 出1台(本廠-氣浮-HA25041401-100003341-000400005517)
5/8 W5*1 OK(648-#5693)
10/23 出1台(本廠-HA25062501-100003419-000400005693)
11/13 W5*1 OK(648-#6009)
11/13 出1台(三廠-氣浮-HA25103101-100003342-000400006009)
11/20 W5*1 OK(648-#6009)
11/27 出1台(三廠-氣浮-HA25110401-100003425-000400006009)
12/31 W5*1 OK(648-#6083)
26/1/8 出1台(本廠-HA25121201-100003453-000400006083)</t>
      </text>
    </comment>
    <comment ref="L27" authorId="0" shapeId="0">
      <text>
        <t xml:space="preserve">guang:
10/17 NG*1(LD-HA22092901-000400003133)
001289:
10/21 NG*1(LD-HA22101801-000400003133)
guang:
11/8 出2台(000400003133*2)-報廢
001289:
11/17 NG*1(LD-HA22111501-000400003133)
guang:
11/28 NG*1(LD-HA22112401-000400003133)
12/8 出1台(000400003133*1)-報廢
23/1/11 出1台(000400003133*1)-報廢
guang:
24/5/20 NG*1(LD-HA22090801-000400004473)
6/17 出1台(000400004473*1)-砂孔報廢
guang:
25/3/20 NG*2(LD-#5517-油孔無肉厚)
4/2 出2台(000400005517)-報廢
</t>
      </text>
    </comment>
    <comment ref="C28" authorId="1" shapeId="0">
      <text>
        <t xml:space="preserve">ralf:
5/8 入1台(YK)
5/11 入2台(YK)
5/19 入1台(YK)
ralf:
5/25 現場盤點數量2
6/01 入1台(YK)
6/6 入1台(YK)
6/15 入1台(YK)
6/22 入1台(YK)
3/8 入1台(YK)
3/15 入1台(YK)
3/22 入1台(YK)
3/30 入2台(YK)
4/12 入2台(YK)
4/17 入1台(YK)
4/23 入1台(YK)
4/27 入1台(YK)
4/30 出1台(扭曲過大-YK)
5/2 入1台(YK)(換)
5/7 入1台(YK)
5/22 入1台(YK)
5/28 入1台(YK)
6/1 入1台(YK)
6/7 入1台(YK)
8/9 入2台(YK)
10/17 入2台(YK)
12/3 入1台(YK)
4/26 入1台(YK)
5/15 入1台(YK)
8/28 入1台(YK)
11/26 入1台(YK-換)
5/18 入2台(YK)
21/3/4 入2台(YK)
5/24 入1台(YK-換)
5/27 入1台(YK-換)
6/10 入1台(YK-X向)
6/21 入2台(YK)
7/13 入2台(YK)
10/12 入1台(YK)
10/12 入1台(YK-換-1216)
10/29 入1台(YK)
11/22 入2台(YK-1916-1958)
1/18 入1台(YK-1848)
2/21 入1台(YK-2243)
2/24 入2台(YK-2085)
3/25 入2台(YK-2477)
7/19 入1台(YK-換-#2085)
</t>
      </text>
    </comment>
    <comment ref="D28" authorId="0" shapeId="0">
      <text>
        <t xml:space="preserve">guang:
5/22 W1*1 OK(408)
5/23 W2加工錯誤
6/01 W1*1 OK(408)
6/02 W1*1 OK(408)
6/16 W1*1 OK(408)
8/9 W1*2 OK(408)
8/10 W1*1 OK(408)
9/22 W1*1 OK(408)
3/9 W1*1 OK(408)
3/20 W1*1 OK(408)
3/23 W1*1 OK(408)
4/4 W1*1 OK(408)
4/7 W1*1 OK(408)
4/23 W1*1 OK(408)
4/24 W1*2 OK(408)
4/30 W1*1 OK(408)
5/3 W1*1 OK(408)
5/15 W1*1 OK(408)
5/31 W1*1 OK(408)
6/20 W1*1 OK (408)
6/21 W1*1 OK (408)
6/22 W1*1 OK (408)
8/29 W1*1 OK (408)
8/30 W1*1 OK (408)
9/4 W1*1 OK (408)
9/5 W1*1 OK (408)
11/1 W1*1 OK (408)
guang:
11/2 鑄件太硬吊下11/5 出1台(楊鋼載回)
1/7 W1*1 OK (408)
5/17 W1*1 OK (408)
5/20 W1*1 OK (408)
9/10 W1*1 OK (408)
12/17 W1*1 OK (408)
6/18 W1*1 OK (408)
6/22 W1*1 OK (408)
21/3/9 W1*1 OK (408)
3/11 W1*1 OK (408)
5/25 W1*1 OK(408)
5/31 W1*1 OK(408)
6/21 W1*1 OK(408-X向)
6/25 W1*1 OK(408)
6/28 W1*1 OK(408)
7/19 W1*1 OK(408-1216)
7/20 W1*1 OK(408-1216)
10/29 W1*1 OK(409-1706)
11/2 W1*1 OK(409-1216)(補件)
11/4 W1*1 OK(409-1766)
11/23 W1*1 OK(409-1916)
12/3 W1*1 OK(408-1958)
22/2/24 W1*1 OK(409-2243)
2/25 W1*1 OK(409-1848)
4/28 W1*1 OK(409-#2085)
7/11 W1*1 OK(409-#2447)
7/16 W1*1 OK(409-#2447)
7/21 W1*1 OK(409-#2085)(補件)
</t>
      </text>
    </comment>
    <comment ref="E28" authorId="1" shapeId="0">
      <text>
        <t xml:space="preserve">ralf:
4/25 W2*1OK(411)
5/23 W2*1 OK(411)
5/24 W2*1 OK(411)
7/11 W2*1 OK(409)
7/13 W2*1 OK(410)(溝過深)
7/17 W2*1 OK(410)
7/18W2*1 OK(410)(錯誤補救)
8/17 W2*1 OK(410)
8/21 W2*1 OK(410)(報廢-換9/8)
8/22 W2*1 OK(410)
9/28 W2*1 OK(410)
guang:
10/23 鎖板補救OK(410)(溝過深)(OK)
3/13 W2*1 OK(410)
3/21 W2*1 OK(410)
3/28 W2*1 OK(411)
4/10 W2*1 OK(411)
4/12 W2*1 OK(411)
4/26 W2*1 OK(411)
4/30 W2*1 OK(411)
5/2 W2*1 OK(411)
5/4 W2*1 OK(411)
5/7 W2*1 OK(411)
5/21 W2*1 OK(411)
6/4 W2*1 OK(411)
6/28 W2*1 OK(411)
7/2 W2*1 OK(648)
7/6 W2*1 OK(410)
9/4 W2*1 OK(411)
9/5 W2*1 OK(411)
9/7 W2*1 OK(411)
9/10 W2*1 OK(411)
11/6 W2*1 OK(411)
1/16 W2*1 OK(411)
5/23 W2*1 OK(351)
5/27 W2*1 OK(351)
9/24 W2*1 OK(411-結水痕)
11/26 出1台(YK-HA19091001-報廢)
12/26 W2*1 OK(411)
6/30 W2*1 OK(411)
7/6 W2*1 OK(411)
21/3/17 W2*1 OK(351)
3/19 W2*1 OK(351-000400000398)
5/29 W2*1 OK(351)
6/3 W2*1 OK(411)
6/24 W2*1 OK(411)
7/1 W2*1 OK(411)
7/5 W2*1 OK(411)
8/6 W2*1 OK(351-1216-溝底縮孔)
8/14 W2*1 OK(351-1216)
9/24 退楊鋼*1 (000400001216-溝底縮孔)
11/5 W2*1 OK(411-1706)
11/9 W2*1 OK(411-1766)
11/12 W2*1 OK(411-補件1216)
11/29 W2*1 OK(411-1916)
12/10 W2*1 OK(411-1958)
22/3/8 W2*1 OK(351-2243)
3/14 W2*1 OK(351-1848)
5/5 W2*1 OK(351-#2085)
7/19 W2*1 OK(351-#2477)
7/22 W2*1 OK(351-#2477)
7/27 W2*1 OK(411-#2085-補件)
</t>
      </text>
    </comment>
    <comment ref="G28" authorId="0" shapeId="0">
      <text>
        <t xml:space="preserve">guang:
3/9 W4*1 OK
4/19 W4*1ok(648)
4/27 W4*1ok(648)
5/31 W4*2ok(648)
7/12 W4*1ok(648)
7/18 W4*1ok(648)
7/25 W4*1 OK(648)
8/18 W4*1 OK(648)
8/25 W4*1 OK(648)
9/30 W4*1 OK(648)
10/24 W4*1 OK(648)
3/15 W4*1 OK(648)
3/22 W4*1 OK(648)
3/29 W4*1 OK(648)
4/11 W4*1 OK(648)
4/13 W4*1 OK(648)
4/27 W4*1 OK(648)
5/2 W4*1 OK(648)
5/3 W4*1 OK(648)
5/7 W4*1 OK(648)
5/8 W4*1 OK(648)
5/23 W4*1 OK(648)
6/6 W4*1 OK(648)
6/28 W4*1 OK(648)
7/3 W4*1 OK(648)
7/10 W4*1 OK(648)
9/5 W4*1 OK(648)
9/6 W4*1 OK(648)
9/10 W4*1 OK(648)
9/11 W4*1 OK(648)
11/7 W4*1 OK(648)
1/16 W4*1 OK(648)
5/24 W4*1 OK(648)
5/27 W4*1 OK(648)
12/30 W4*1 OK(648)
6/30 W4*1 OK(648)
7/7 W4*1 OK(648)
21/3/17 W4*1 OK(648)
3/22 W4*1 OK(648)
5/31 W4*1 OK(648)
6/4 W4*1 OK(648)
6/24 W4*1 OK(648)
7/2 W4*1 OK(648)
7/6 W4*1 OK(648)
8/17 W4*1 OK(648-1216)
11/8 W4*1 OK(648-1706)
11/10 W4*1 OK(648-1766)
11/15 W4*1 OK(648-1216)
11/30 W4*1 OK(648-1916)
12/14 W4*1 OK(648-1958)
22/3/8 W4*1 OK(648-2243)
3/14 W4*1 OK(648-1848)
5/5 W4*1 OK(648-#2085)
7/22 W4*1 OK(648-#2477)
7/28 W4*1 OK(648-#2477)
7/29 W4*1 OK(648-#2085)
</t>
      </text>
    </comment>
    <comment ref="H28" authorId="1" shapeId="0">
      <text>
        <t xml:space="preserve">ralf:
3/14 W5*1 OK
3/22 出1台(本廠)
4/6 W5*1 OK
4/7 出1台(本廠)
4/26 W5*1 OK
4/27 出1台(本廠)
5/4 W5*1 OK
5/8 出1台(本廠)
5/18 現場庫存1(已開單銷帳)下次直接出貨即可
guang:
6/6 W5*2 OK(1塊報廢)
6/27 出1台(6路)(已開單消帳)
7/17 W5*1 OK(648)
guang:
7/21 W5*1 OK(648)
8/3 W5*1 OK(648)
8/24 W5*1 OK(648)
8/30 W5*1 OK(648)
9/28 出1台(6路)
10/30 W5*1 OK(648)
11/17 出1台(6路)
12/7 出2台(6路)
1/15 出1台(6路)
2/5 出2台(6路)
2/8 出1台(6路)
3/16 W5*1 OK(648)
3/21 出1台(6路)
3/26 W5*1 OK(648)
3/27 出1台(6路)
3/31 W5*1 OK(648)
4/16 W4*1 OK(648)
4/18 出1台(6路)
4/18 W5*1 OK(648)
5/4 W5*1 OK(648)
5/8 W5*1 OK(648)
5/9 出1台(6路)
5/9 W5*1 OK(648)
5/10 W5*1 OK(648)
5/29 W5*1 OK(648)
6/14 W5*1 OK(648)
7/4 W5*1 OK(648)
7/5 W5*1 OK(648)
7/11 出1台(6路)
7/16 W5*1 OK(648)
7/16 出1台(6路)
8/29 出1台(6路)
9/6 出2台(6路)
9/10 W5*1 OK(648)
9/12 W5*1 OK(648)
9/13 W5*1 OK(648)
9/17 W5*1 OK(648)
9/28 出3台(6路)
10/8 出1台(6路)
10/12 出1台(6路)
11/9 W5*1 OK(648)(載重)
11/13 出2台(6路)(載重)
1/4 出2台(6路-HA18062101,HA18082901)
1/7 出1台(6路-HA18090502)
1/19 W5*1 OK(648)
4/16 出2台(6路-HA18082901,HA19010701)
guang:
補救(螺姆孔往下8mm)
5/29 W5*1 OK(648)
7/10 W5*1 OK(648-氣浮)
7/15 出1台(6路-氣浮-HA19051701)
11/7 出1台(6路-氣浮-HA19052801)
12/9 W5*1 OK(648-氣浮-改)
12/10 W5*1 OK(648-氣浮-改)
12/10 出1台(6路-氣浮-HA17052002)
1/7 W5*1 OK(648-氣浮)
1/9 退回1台(6路-氣浮-HA17052002-螺姆孔往下8mm)
1/9 出1台(6路-氣浮-HA18033001)
guang:
5/21 出1台(6路-氣浮-HA17052002-螺姆孔往下8mm-028102)
5/21 出1台(6路-氣浮-HA19121701--028103)
7/8 W5*1 OK(648-氣浮)
7/9 W5*1 OK(648-氣浮)
11/2 出1台(6路-氣浮-HA20061801--028135)
11/10 出1台(本廠-HA20062201-機號:28327)
21/3/24 W5*1 OK(648-氣浮-000400000398)
3/25 W5*1 OK(648-氣浮-000400000398)
4/16 退2台(YK-溝底縮孔嚴重-000400000398*2)
6/3 W5*1 OK(648-氣浮-000400000398-補件)
6/4 出1台(三廠-氣浮-HA21052501-100000722-000400000398)
6/8 W5*1 OK(648-氣浮-000400000398-補件)
6/4 出1台(三廠-氣浮-HA21053101-100000643-000400000398)
6/26 W5*1 OK(648-氣浮-000000000000-X向)
6/28 出1台(三廠-氣浮-HA21062101-100000710-000400001057-X向)
7/5 W5*1 OK(648-氣浮-000400001065)
7/12 W5*1 OK(648-氣浮-000400001065)
7/23 交換HA21062501-HA21053101-000400000398(貼皮漏氣)
8/5 出1台(三廠-氣浮-HA21062501-100000644-000400001065)
8/26 W5*1 OK(648-氣浮-000400001216)
10/1 出1台(三廠-氣浮-HA21072001-100000950-000400001216)
11/12 W5*1 OK(648-氣浮-000400001706)
11/15 出1台(三廠-氣浮-HA21062801-100001224-000400001065)
11/16 W5*1 OK(648-氣浮-000400001766)
11/17 W5*1 OK(648-氣浮-000400001216-HA21110201)
11/22 出1台(三廠-氣浮-HA21110201-100001216-000400001071)
12/8 W5*1 OK(648-氣浮-000400001916-HA21112301)
12/16 W5*1 OK(648-氣浮-000400001958-HA21120301)
12/22 出1台(三廠-氣浮-HA21102901-100001174-000400001706)
22/2/16 出1台(本廠-氣浮-HA21112301-100001455-000400001916)
3/17 W5*1 OK(648-氣浮-000400002243-HA22022401)
3/18 W5*1 OK(648-氣浮-000400001848-HA22022501)
3/31 出1台(三廠-氣浮-HA22022401-100001126-000400002243-RD測試機)-入
5/9 W5*1 OK(648-氣浮-000400002085-NTN貼皮)
guang:
 5/13 出1台(三廠-氣浮-HA22042801-100001126-000400002085-NTN-測試機)-交換
5/17 入1台(氣浮-HA22022401-000400002243)
7/29  W5*1 OK(648-氣浮-000400002477-HA22071101)
8/10  W5*1 OK(648-氣浮-000400002477-HA22071601)
8/11  W5*1 OK(648-氣浮-000400002085-HA22072101)
guang:
23/8/29 出1台(三廠-氣浮-HA22071101-100002537-000400002477)
9/21 出1台(本廠-氣浮-HA22022501-100002517-000400001848)
10/13 出1台(本廠-氣浮-HA21120301-100002489-000400001958)
24/2/26 出1台(三廠-氣浮-HA21110401-100002748-000400001766)
</t>
      </text>
    </comment>
    <comment ref="L28" authorId="0" shapeId="0">
      <text>
        <t xml:space="preserve">guang:
5/15 NG*1(YK-HA22051201-000400002085)
guang:
6/30 楊鋼載回*1( HA22051201-#2085)
</t>
      </text>
    </comment>
    <comment ref="C29" authorId="0" shapeId="0">
      <text>
        <t xml:space="preserve">guang:
3/01入1台(YJF)
3/2 入2台(YZ)
5/5 入1台(YJF)
5/12 入2台(YJF)
8/21 入1台(YZ)
8/31 入1台(YZ)
9/3 入1台(YZ)
11/28入1台(YJF)
11/30 入1台(YZ)
1/9入1台(YJF)
2/21 入1台(YZ)
3/7 入1台(YZ)
3/15 入2台(YZ-換*1+X向*1)
3/16 入1台(YZ)
5/25 入1台(YZ)
6/12 入2台(YZ)
21/2/26入1台(YJF)
3/8 入1台(YZ)
3/25 入1台(YZ)
4/1入1台(YJF)
22/1/25 入1台(YZ)(補件-砂孔-H08000573)
7/4 入1台(LD-填滿X向T溝-#2918)
guang:
guang:
hsinwei:
25/7/16 入1台((LD-#5861))
</t>
      </text>
    </comment>
    <comment ref="D29" authorId="0" shapeId="0">
      <text>
        <t xml:space="preserve">guang:
3/9 W1*1 OK
3/10 W1*1 OK
7/28 W1*1 OK
8/1 W1*1 OK(408)
8/22 W1*1 OK(408)
8/31 W1*1 OK(408)
8/28 W1*1 OK(408)
9/6 W1*1 OK(408)
9/7 W1*1 OK(408)
9/8 W1*1 OK(408)
1/8 W1*1 OK(408)
1/9 W1*1 OK(408)
1/15 W1*1 OK(408)
2/26 W1*1 OK(408)
3/12 螺姆座砂孔-出
3/25 W1*1 OK(408-T22)
4/3 W1*1 OK(408)
4/18 W1*1 OK(408)
6/10 W1*1 OK(408)
7/10 W1*1 OK(408)
7/13 W1*1 OK(408)
21/8/18 W1*1 OK(408-374)
9/29 W1*1 OK(408-1375)
10/1 W1*1 OK(408-1375)
22/7/6 W1*1 OK(409-H08000573)
7/8 W1*1 OK(409-000400002918)
25/7/18 W1*1 OK(409-000400005861)
</t>
      </text>
    </comment>
    <comment ref="E29" authorId="0" shapeId="0">
      <text>
        <t xml:space="preserve">guang:
3/14 W2*1 OK(411)
3/18 W2*1 OK(411)
8/3 W2*1 OK(410)
8/31 W2*1 OK(410)
9/6 W2*1 OK(410)
9/21 W2*1 OK(410)
9/3 W2*1 OK(411)
9/12 W2*1 OK(411)
9/14 W2*1 OK(411)
9/18 W2*1 OK(411)
1/18 W2*1 OK(523)
1/18 W2*1 OK(411)
1/22 W2*1 OK(523)
3/5 W2*1 OK(351)
4/2 W2*1 OK(411)(X向)
4/12 W2*1 OK(411)
3/24 W2*1 OK(411)
6/18 W2*1 OK(409)
8/3 W2*1 OK(351)
21/8/25 W2*1 OK(411-374)
8/28 W2*1 OK(411-443)
10/15 W2*1 OK(411-1375)
10/26 W2*1 OK(411-1375)
22/7/11 W2*1 OK(411-H08000573)
7/14 W2*1 OK(411-#2918)
25/7/25 W2*1 OK(411-#5861)
</t>
      </text>
    </comment>
    <comment ref="G29" authorId="0" shapeId="0">
      <text>
        <t xml:space="preserve">guang:
3/14 W4*1 OK
3/20 W4*1 OK
8/8 W4*1 OK(648)
9/1 W4*1 OK(648)
9/7 W4*1 OK(648)
9/3 W4*1 OK(648)
9/13 W4*1 OK(648)
9/14 W4*1 OK(648)
9/18 W4*1 OK(648)
12/28 W4*1 OK(648)
1/21 W4*2 OK(648)
1/22 W4*1 OK(648)
3/5 W4*1 OK(648)
4/2 W4*1 OK(648)
4/12 W4*1 OK(648)
109/2/12 W4*1 OK(648-改氣浮)
3/23 W4*1 OK(648)
5/12 退1台 (三廠-HA19010901-3代氣浮配機號24464-測試完)
5/14 W4*1 OK(648-3代改1代))
6/19 W4*1 OK(648)
7/6 退1台 (三廠-HA19011501-4代浮配機號24464-測試完)
7/15 W4*1 OK(648)
7/17 W4*1 OK(648)
8/4 W4*1 OK(648)
8/27 W4*1 OK(648-374)
8/31 W4*1 OK(648-443)
10/18 W4*1 OK(648-1375)
10/27 W4*1 OK(648-1375)
22/7/12 W4*1 OK(648-H08000573)
7/14 W4*1 OK(648-#2918)
25/7/29 W4*1 OK(648-#5861)
</t>
      </text>
    </comment>
    <comment ref="H29" authorId="0" shapeId="0">
      <text>
        <t xml:space="preserve">guang:
3/9 出1台(三廠)
3/17 W5*1 OK(648)
3/23 W5*1 OK(648)
5/31 出1台(三廠)
6/20 出1台(三廠)
7/10 出1台(三廠)
8/11 W5*1 OK(648)
9/7 W5*1 OK(648)
9/13 W5*1 OK(648)
1/5 出1台(三廠)
1/21 出1台(三廠)(半浮式)
8/14 出1台(三廠)
9/07 W5*1 OK(648)
9/12 出1台(三廠)
9/15 W5*1 OK(648)
9/17 出1台(三廠)
9/19 W5*1 OK(648)
9/20 W5*1 OK(648)
9/20 出1台(三廠)
9/21 出1台(三廠)
1/3 W5*1 OK(648)
1/28 W5*2 OK(648)
1/29 W5*1 OK(648)
2/12 出1台 (6路-HA17072801)
2/14 出1台 (6路-HA19010801)
3/8 W5*1 OK(648)
4/8 W5*1 OK(648-T22X)
4/9 出1台 (6路-HA19032502-T22X向)
4/19 W5*1 OK(648)
12/18 W5*1 OK(648-改二代氣浮)
12/27 出1台 (三廠-HA19040202-二代氣浮)
2/17 W5*1 OK(648-改3代氣浮)
2/19 W5*1 OK(648-改4代氣浮)
2/24 W5*1 OK(648-改1代氣浮)
3/12 出1台 (三廠-HA19022601-一代氣浮配機號28002)
3/27 W5*1 OK(648-1代氣浮)
4/13 出1台 (三廠-HA19010901-3代氣浮配機號24464)
5/6 出1台 (本廠-HA20031801-一代氣浮配機號28087)
5/20 W5*1 OK(648-3代改1代)
6/18 出1台 (三廠-HA19011501-4代氣浮配機號24464)
6/24 W5*1 OK(648-1代氣浮)
7/15 W5*1 OK(648-4代改1代)
7/22 W5*1 OK(648-1代氣浮)
8/7 W5*1 OK(648-1代氣浮)
9/11 出1台 (三廠-HA20071301-機號24464)
21/8/2 出1台 (三廠-HA19011501-10000944-000400000289)
8/24 出1台 (三廠-HA20071001-10000946)-砂孔報廢
9/1 W5*1 OK(648-1代氣浮-000400000374)
9/28 W5*1 OK(648-1代氣浮-000400000443)
10/15 出1台 (三廠-HA21082001-100001070-000400000443)
10/20 W5*1 OK(648-1代氣浮-000400001375)
10/29 W5*1 OK(648-1代氣浮-000400001375)
11/22 出1台 (三廠-HA19010901-100000946-000400001375)
12/10 出1台 (三廠-HA21100101-100001306-000400001375)
6/21 出1台 (三廠-HA21092901-100001837-000400001375)
22/7/18 W5*1 OK(648-1代氣浮-000400002918-X向T溝)
7/20 出1台 (三廠-HA22070801-100001789-000400002918)
7/21 W5*1 OK(648-1代氣浮-H08000573)
10/18 出1台 (三廠-HA22070601-100002062-H08000573)
23/10/25 出1台 (三廠-HA21081801-100002603-000400000374)
guang:
24/7/9 出1台 (三廠-HA20061001-100002876-000400001375)
25/6/9 出1台 (三廠-HA19040202-100003297-000400005805)
8/19 W5*1 OK(648-1代氣浮-HA25071801-000400005861)
</t>
      </text>
    </comment>
    <comment ref="C30" authorId="0" shapeId="0">
      <text>
        <t xml:space="preserve">guang:
2/22 入1台(YZ)
3/9 入1台(YJF)
4/12 入1台(YJF)(換)
</t>
      </text>
    </comment>
    <comment ref="D30" authorId="0" shapeId="0">
      <text>
        <t xml:space="preserve">guang:
6/3 W1*1 OK(408)
2/27 W1*1 OK(408)
3/17 W1*1 OK(408)
4/14 W1*1 OK(408)
</t>
      </text>
    </comment>
    <comment ref="E30" authorId="0" shapeId="0">
      <text>
        <t xml:space="preserve">guang:
8/16 W2*1 OK(410)
3/3 W2*1 OK(410)
3/20 面有砂孔(NG)(410)(YJF)
guang:
3/23出1台(YZ載回)
3/26入1台(YZ載回)
3/28出1台(YJF載回)
5/4 W2*1 OK(351)
</t>
      </text>
    </comment>
    <comment ref="G30" authorId="0" shapeId="0">
      <text>
        <t xml:space="preserve">guang:
8/17 W4*1 OK (648)
3/6 W4*1 OK (648)
5/7 W4*1 OK(648)
</t>
      </text>
    </comment>
    <comment ref="H30" authorId="0" shapeId="0">
      <text>
        <t xml:space="preserve">guang:
4/10出1台(三廠)
8/23 W5*1 OK(648)
12/19出1台(三廠)
3/7 W5*1 OK(648)
3/8 出1台(三廠)
5/14 W5*1 OK(648)
1/15 W5*1 OK(648-更改氣浮)
1/17 出1台(三廠-HA18041401-氣浮)
</t>
      </text>
    </comment>
    <comment ref="C31" authorId="0" shapeId="0">
      <text>
        <t xml:space="preserve">guang:
1/12入1台YZ
5/22入1台YZ
11/15入1台(YZ)
7/6入1台(YZ)
3/16入1台(YZ)
guang:
</t>
      </text>
    </comment>
    <comment ref="D31" authorId="0" shapeId="0">
      <text>
        <t xml:space="preserve">guang:
6/5 W1*1 OK(408)
11/28 W1*1 OK(523)
1/21 W1*1 OK(408)
4/15 W1*1 OK(408)
</t>
      </text>
    </comment>
    <comment ref="E31" authorId="0" shapeId="0">
      <text>
        <t xml:space="preserve">guang:
3/9 W2*1 OK(411)
7/27 W2*1 OK(410)
11/30 W2*1 OK(410)
1/23 W2*1 OK(351)
4/29 W2*1 OK(411)
</t>
      </text>
    </comment>
    <comment ref="G31" authorId="0" shapeId="0">
      <text>
        <t xml:space="preserve">guang:
3/14 W4*1 OK
8/2 W4*1 OK(648)
12/4 W4*1 OK(648)
1/24 W4*1 OK(648)
2/24 W4*1 OK(648-改氣浮)
4/30 W4*1 OK(648)
</t>
      </text>
    </comment>
    <comment ref="H31" authorId="0" shapeId="0">
      <text>
        <t xml:space="preserve">guang:
3/20 W5*1 OK
6/1 出1台(6路)
8/10 W5*1 OK
12/7 W5*1 OK
2/12 W5*1 OK
12/16 W5*1 OK(648-氣浮)
12/19 出1台(6路-HA19012101-氣浮)
2/26 W5*1 OK(648-改氣浮)
2/26 出1台(6路-HA17060501-氣浮)
5/14 W5*1 OK(648-氣浮)
</t>
      </text>
    </comment>
    <comment ref="C32" authorId="0" shapeId="0">
      <text>
        <t xml:space="preserve">guang:
5/3 入1台(YK)
5/9 入1台(YK)
6/27 入1台(YK)
7/6 入1台(YK)
5/28 入1台(YK)
8/17 入1台(YK)
2/21 入1台(YK)
3/18 入1台(YK-交換)
21/4/9 入1台(YK)
</t>
      </text>
    </comment>
    <comment ref="D32" authorId="0" shapeId="0">
      <text>
        <t xml:space="preserve">guang:
5/4 W1*1 OK(408)
5/13 W1*1 OK(408)
7/20 W1*1 OK(408)
9/1W1*1 OK(408)
6/7 W1*1 OK(408)
8/21 W1*1 OK(408)
2/26 W1*1 OK(408)
3/20 W1*1 OK(408)
21/4/15 W1*1 OK(408)
</t>
      </text>
    </comment>
    <comment ref="E32" authorId="0" shapeId="0">
      <text>
        <t xml:space="preserve">guang:
5/10 W2*1 OK(411)
5/17 W2*1 OK(411)
7/25 W2*1 OK(410)
9/11 W2*1 OK(410)
6/14 W2*1 OK(411)
8/24 W2*1 OK(411)
3/3 W2*1 OK(411-砂孔)
3/18 出1台(YK-砂孔)
3/27 W2*1 OK(411)
21/4/20 W2*1 OK(351)
</t>
      </text>
    </comment>
    <comment ref="G32" authorId="0" shapeId="0">
      <text>
        <t xml:space="preserve">guang:
5/11 W4*1 OK(648)
7/27 W4*1 OK(648)
9/12 W4*1 OK(648)
6/15 W4*1 OK(648)
8/28 W4*1 OK(648)
3/30 W4*1 OK(648)
4/21 W4*1 OK(648)
</t>
      </text>
    </comment>
    <comment ref="H32" authorId="1" shapeId="0">
      <text>
        <t xml:space="preserve">ralf:
648前
4/7 出1台(本廠)
5/15 W5*1 OK(648)
5/16 出1台(6路)
5/22 W5*1 OK(648)
5/23 出1台(6路)
8/2 W5*1 OK(648)
9/18 W5*1 OK(648)
3/26 出1台(3廠)
4/24 出1台(3廠)
6/21 W5*1 OK(648)
7/31 出1台(3廠)
8/31 W5*1 OK(648)
9/6 出1台(3廠)
4/6 W5*1 OK(648)
4/6 出1台(6路-HA20032001-配27638)
21/4/23 W5*1 OK(648-000400000574)
5/27 出1台(三廠-HA21041501-100000560-000400000574)
</t>
      </text>
    </comment>
    <comment ref="C33" authorId="0" shapeId="0">
      <text>
        <t>guang:
2/6 入1台(YZ)(加厚)-
2/15 入1台(YZ)
4/5 入1台(YZ)
4/11 入1台(YZ)
7/4 入1台(YZ)
8/11 入1台(YJF)
10/23 入1台(YZ)
10/27 入1台(YJF)
1/10 入1台(YJF)
1/12 入1台(YJF)
2/26 入1台(YJF)
3/20 入1台(YZ)
5/23 入1台(YJF)
6/19 入1台(YJF)
9/4 入1台(YZ)
12/5 入1台(YJF)
4/29 入1台(YZ-X向)
1/6 入2台(YZ)
4/29 入1台(YJF)
5/18 入1台(YZ)
5/25 入1台(YZ)
12/11 入1台(YZ)
21/1/18 入1台(YZ)
1/19 入1台(YZ)
2/18 入1台(YJF)
2/22 入1台(YZ)
5/19 入1台(YJF)
6/17 入1台(YJF-換)
7/19 入2台(YJF)
8/9 入1台(YZ)
10/27 入1台(YJF)
11/29 入1台(YJF-1973)
11/30 入2台(YZ-1975)
22/3/8 入1台(YJF-2372)
24/4/29 入1台(YJF-#4550)
7/16 入1台(YJF-#4788)
8/2 入1台(YJF-#4861)
8/2 入1台(YJF-#4921)
9/5 入1台(YJF-#4944)
9/25 入2台(YJF-#5021)
guang:
10/24 入1台(YJF-#4747)
guang:
26/1/6 入1台(YJF-#6136)
1/6 入1台(YJF-#6150)</t>
      </text>
    </comment>
    <comment ref="D33" authorId="0" shapeId="0">
      <text>
        <t xml:space="preserve">guang:
含1台加厚
3/18 W1*1OK(408)
ralf:
4/13 W1*1 ok(408)
4/14 W1*1ok(408)
4/14 W1*1ok(408)(加厚)
7/31 W1*1 OK(408)
9/8 W1*1 OK(408)
11/4 W1*1 OK(523)
11/29 W1*1 OK(523)
1/27 W1*1 OK(408)
1/29 W1*1 OK(408)
3/1 W1*1 OK(408)
4/13 W1*1 OK(408)
6/4 W1*1 OK(408)
8/1 W1*1 OK(408)
1/17 W1*1 OK(408)
1/19 W1*1 OK(408)
5/3 W1*1 OK(408-3X)
1/15 W1*1 OK(408)
1/17 W1*1 OK(408)
5/4 W1*1 OK(408)
5/27 W1*1 OK(408)
6/1 W1*1 OK(408)
12/23 W1*1 OK(408)
21/1/25 W1*1 OK(408)
1/27 W1*1 OK(408)
2/24 W1*1 OK(408)
3/5 W1*1 OK(408)
6/30 W1*1 OK(408)
7/22 W1*1 OK(408-1303)
7/26 W1*1 OK(408-1303)
8/11 W1*1 OK(408-0333)
11/17 W1*1 OK(408-1404)
12/8 W1*1 OK(408-1973)
12/10 W1*1 OK(408-1975)
22/1/5 W1*1 OK(409-1975)
7/4 W1*1 OK(409-#2372)
guang:
24/6/3 W1*1 OK(409-#4550)
7/20 W1*1 OK(813-#4788)
8/7 W1*1 OK(409-#4861)
8/28 W1*1 OK(813-#4921)
9/19 W1*1 OK(410-#4944)
10/7 W1*1 OK(410-#5021)
10/9 W1*1 OK(410-#5021)
11/7 W1*1 OK(410-#4747)
</t>
      </text>
    </comment>
    <comment ref="E33" authorId="0" shapeId="0">
      <text>
        <t xml:space="preserve">guang:
3/22 W2*1 OK(411)
4/20 W2*1 OK(411)
4/22 W2*1 OK(411)
8/8 W2*1 OK(410)
9/14 W2*1 OK(410)
10/6W2*1OK(410)(厚)
11/14 W2*1 OK(410)
12/11 W2*1 OK(410)
2/9 W2*1 OK(411)
2/12 W2*1 OK(410)
3/10 W2*1 OK(410)
4/24 W2*1 OK(411)
6/7 W2*1 OK(351)
8/6 W2*1 OK(351)
1/23 W2*1 OK(411)
1/28 W2*1 OK(411)
5/9 W2*1 OK(411-3X)
1/31 W2*1 OK(351)
2/7 W2*1 OK(351)
3/11 W2*1 OK(409)
6/5 W2*1 OK(409)
6/12 W2*1 OK(409)
21/1/5 W2*1 OK(351)
2/1 W2*1 OK(351)
2/5 W2*1 OK(351)
3/8 W2*1 OK(351-000400000078)
3/15 W2*1 OK(351)
6/5 W2*1 NG(411-000400000331-砂孔)
6/8 出1台 NG(YJF-000400000331-砂孔)-結單(庫存)
7/7 W2*1 OK(351-000400000379)
7/29 W2*1 OK(411-000400001303)
8/4 W2*1 OK(351-000400001303)
8/19 W2*1 OK(351-000400000333)
11/24 W2*1 OK(411-000400001404)
12/20 W2*1 OK(351-000400001973)
12/27 W2*1 OK(351-000400001975)
22/1/13 W2*1 OK(351-000400001975)
7/14 W2*1 OK(351-000400002372)
guang:
24/6/17 W2*1 OK(411-#4550)
7/29 W2*1 OK(411-#4788)
8/13 W2*1 OK(351-#4861)
9/4 W2*1 OK(411-#4921)
9/26 W2*1 OK(411-#4944)
11/20 W2*1 OK(351-#4747)
11/29 W2*1 OK(351-#5021)
12/9 W2*1 OK(351-#5021)
</t>
      </text>
    </comment>
    <comment ref="G33" authorId="0" shapeId="0">
      <text>
        <t xml:space="preserve">guang:
3/23 W4*1 OK(648)
4/20 W4*1 OK(648)
4/24 W4*1 OK(648)
8/9 W4*1 OK(648)
9/15 W4*1 OK(648)
10/12 W4*1 OK(648)(厚)
11/17 W4*1 OK(648)
12/11 W4*1 OK(648)
2/13 W4*2 OK(648)
3/12 W4*1 OK(648)
4/26 W4*1 OK(648)
6/8 W4*1 OK(648)
8/8 W4*1 OK(648)
1/25 W4*1 OK(648)
1/29 W4*1 OK(648)
5/10 W4*1 OK(648-3X)
2/4 W4*1 OK(648)
2/10 W4*1 OK(648)
5/12 W4*1 OK(648)
6/8 W4*1 OK(648)
6/12 W4*1 OK(648)
21/1/7 W4*1 OK(648)
2/2 W4*1 OK(648)
2/8 W4*1 OK(648)
3/8 W4*1 OK(648)
3/15 W4*1 OK(648)
7/7 W4*1 OK(648)
7/30 W4*1 OK(648)
8/4 W4*1 OK(648)
8/20 W4*1 OK(648)
10/25 W4*1 OK(648-1404)
12/20 W4*1 OK(648-1973)
12/27 W4*1 OK(648-1975)
22/1/14 W4*1 OK(648-000400001975)
7/21 W4*1 OK(648-000400002372)
guang:
24/6/20 W3*1 OK(648-#4550)
7/31 W4*1 OK(648-#4788)
8/13 W4*1 OK(648-#4861)
9/5 W4*1 OK(648-#4921)
9/27 W4*1 OK(648-#4944)
12/3 W4*1 OK(648-#4747)
12/10 W4*1 OK(648-#5021)
12/11 W4*1 OK(648-#5021)
</t>
      </text>
    </comment>
    <comment ref="H33" authorId="1" shapeId="0">
      <text>
        <t>ralf:
6/19 W5*1 OK(648)
8/13 W5*1 OK(648)
10/19 出1台(三廠)
1/30 W5*1 OK(648)
2/13 W5*1 OK(648)
5/14 W5*1 OK(648-3X)
5/16 出1台(三廠-HA19050301-3X)
8/7 出2台(三廠-HA19011901，HA18060402)
11/5 改氣浮油溝*1(648)
11/6 出1台(三廠-HA19011701-氣浮)
12/6 改氣浮油溝*1(648)
12/9 出1台(三廠-HA17030201-氣浮)
2/10 W5氣浮油溝*1(648)
2/15 W5氣浮油溝*1(648)
3/9 出1台(三廠-HA20011701-氣浮)
3/11 出1台(三廠-HA20011501-氣浮)
3/19 W5改氣浮油溝*1(648-X向)
3/24 出1台(三廠-HA15071702-氣浮)
5/14 W5氣浮油溝*1(648)
5/15 出1台(三廠-HA20050401-氣浮-機號:28086)
6/11 W5氣浮油溝*1(648)
6/18 W5氣浮油溝*1(648)
7/30 出1台(三廠-HA20060101-氣浮-機號:28218)
10/16 出1台(三廠-HA20052701-氣浮-機號:27843)
21/1/13 W5氣浮油溝*1(648)
2/5 W5氣浮油溝*1(648)
2/20 出1台(三廠-HA20122301-氣浮-工號:100000389)
2/20 W5氣浮油溝*1(648)
3/8 出1台(三廠-HA21012701-氣浮-工號:100000342)
3/11 W5氣浮油溝*1(648-000400000078)
3/19 W5氣浮油溝*1(648-000400000332)
4/21 出1台(三廠-HA21030501-100000585-000400000332)
5/10 出1台(三廠-HA21022401-100000586-000400000078)
6/24 出1台(三廠-HA21012501-100000713-000400000331)
7/9 W5氣浮油溝*1(648-000400000379)
7/14 出1台(三廠-HA21063001-100000714-000400000379)
8/3 W5氣浮油溝*1(648-000400001303)
8/9 W5氣浮油溝*1(648-000400001303)
8/30 W5氣浮油溝*1(648-000400000333)
9/8 出1台(三廠-HA21081101-100000947-000400000333)
10/5 出1台(三廠-HA21072601-100000958-000400001303)
11/5 出1台(三廠-HA21072201-100001112-000400001303)
11/30 W5氣浮油溝*1(648-000400001404)
12/24 出1台(三廠-HA21111601-100001111-000400001404)
12/27 W5氣浮油溝*1(648-000400001973)
21/12/29 W5氣浮油溝*1(648-000400001975)
22/1/19 W5氣浮油溝*1(648-000400001975)
2/22 出1台(三廠-HA21120801-100001539-000400001973)
8/4 W5氣浮油溝*1(648-000400002372)
8/30 出1台(三廠-HA22070401-100001993-000400002372)
23/11/21 出1台(三廠-HA22010501-100002583-000400001975)
24/3/19 出1台(三廠-HA21121001-100002711-000400001975)換(#1845)因無法消單
guang:
7/1 W5氣浮油溝*1(648-000400004550)
7/4 出1台(本廠-HA24060301-100002849-000400004550)
8/6 W5氣浮油溝*1(648-000400004788)
8/13 出1台(三廠-HA24072001-100002863-000400004788)
8/16 W5氣浮油溝*1(648-000400004861)
8/28 出1台(三廠-HA24080701-100002864-000400004861)
9/11 W5氣浮油溝*1(648-000400004921)
guang:
9/19 入1台(傑浩-無鋼碼-000400005005)
9/20 出1台(三廠-傑浩-無鋼碼-000400005005-100002911)
10/4 W5氣浮油溝*1(648-000400004944)
10/23 出1台(三廠-HA24091901-100002964-000400004944)
11/11 出1台(三廠-HA24082801-100002955-000400004921)
12/13 W5氣浮油溝*1(648-000400004747)
12/20 W5氣浮油溝*1(648-000400005021)
25/2/25 出1台(三廠-HA24100701-100003103-000400005021)
3/11 W5氣浮油溝*1(648-000400005021)
12/22 出1台(三廠-HA24100901-100003459-000400005021)</t>
      </text>
    </comment>
    <comment ref="C34" authorId="0" shapeId="0">
      <text>
        <t xml:space="preserve">guang:
2/15 入1台(YZ)
7/13 入1台(YZ)
1/26 入1台(YZ)
2/27 入1台(YZ)
guang:
3/2 鑄件變形太大 
3/21出1台(YZ)-變形太大
3/30 入1台(YZ)
4/25 入1台(YZ)(換)
8/9 入1台(YZ)(4基準溝-填滿)
8/13 入1台(YZ)(4基準溝-填滿)
22/1/17 入1台(LD-#2188-填滿)
</t>
      </text>
    </comment>
    <comment ref="D34" authorId="0" shapeId="0">
      <text>
        <t xml:space="preserve">guang:
6/7 W1*1 OK(408)
9/12 W1*1 OK(408)
2/2 W1*1 OK(408)
4/12 W1*1 OK(408)
10/18 W1*1 OK(408)(4基準溝-填滿)
10/19 W1*1 OK(408)(4基準溝-填滿)
11/30 W1*1 OK(408)
22/1/20 W1*1 OK(409-#2188-X向)
</t>
      </text>
    </comment>
    <comment ref="E34" authorId="3" shapeId="0">
      <text>
        <t xml:space="preserve">a9301012:
NGguang:
6/2 W2*1 OK(351)
8/14 W2*1 OK(410)
9/18 W2*1 OK(410)
3/7 W2*1 OK(410)
4/21 W2*1 OK(410)(特殊)
10/23 W2*1 OK(351)(4基準溝-填滿)
10/26 W2*1 OK(351)(4基準溝-填滿)
12/5 W2*1 OK(411)(特殊)
guang:
3/12 移入報廢鑄件*1guang:
12/22 出1台(報廢)
22/1/27 W2*1 OK(351-#2188-X向)
</t>
      </text>
    </comment>
    <comment ref="G34" authorId="0" shapeId="0">
      <text>
        <t xml:space="preserve">guang:
6/8 W4*1 OK(648)
8/15 W4*1 OK(648)
9/20 W4*1 OK(648)
3/9 W4*1 OK(648)
4/23 W4*1 OK(648)(特殊)
10/23 W4*1 OK(648)
10/26 W4*1 OK(648)(4基準溝-填滿)
12/6 W4*1 OK(648)
22/2/7 W4*1 OK(648-#2188-X向)
</t>
      </text>
    </comment>
    <comment ref="H34" authorId="0" shapeId="0">
      <text>
        <t xml:space="preserve">guang:
3/3 1塊加厚韓國X向 3/30 出1台(三廠)
4/19 出1塊研磨(X向)(台典)
4/26 出1台(X向-研磨)
6/7 出1台(3廠)
guang:
6/16 W5*1 OK(648)
6/19 出1台(3廠)
8/18 W5*1 OK(648)
9/26 W5*1 OK(648)
11/20 出1台(3廠)
3/13 出1台(3廠)
3/14 W5*1 OK(648)
3/28 出1台(3廠)
4/25 W5*1 OK(648)
10/25 W5*1 OK(648)
10/25 出1台(3廠-4基準溝-填滿)
10/31 W5*1 OK(648-4基準溝-填滿)
11/13 出1台(本廠-4基準溝-填滿)
12/11 W5*1 OK(648)
12/21 出1台(3廠-HA18113001)
22/2/10 W5*1 OK(648-000400002188-X向)
2/14 出1台(3廠-HA22012001-100001377-000400002188-X向)
</t>
      </text>
    </comment>
    <comment ref="J34" authorId="1" shapeId="0">
      <text>
        <t>ralf:
1台內加加工不良-報廢(C區)</t>
      </text>
    </comment>
    <comment ref="C35" authorId="0" shapeId="0">
      <text>
        <t xml:space="preserve">guang:
3/16 入1台(YZ)
6/7 入1台(YZ)
12/22 入1台(YZ)
10/31 入1台(YZ)
2/21 入1台(YZ)
21/7/1 入1台(YZ)
</t>
      </text>
    </comment>
    <comment ref="D35" authorId="0" shapeId="0">
      <text>
        <t xml:space="preserve">guang:
3/22 W1*1 OK(408)
6/13 W1*1 OK(408)
1/4 W1*1 OK(408)
11/9 W1*1 OK(408)
2/23 W1*1 OK(408)
21/7/5 W1*1 OK(408)
</t>
      </text>
    </comment>
    <comment ref="E35" authorId="0" shapeId="0">
      <text>
        <t xml:space="preserve">guang:
3/28 W2*1 OK(351)
6/19 W2*1 OK(411)
1/15 W2*1 OK(410)
11/20 W2*1 OK(351)
2/28 W2*1 OK(411)
21/712 W2*1 OK(351)
</t>
      </text>
    </comment>
    <comment ref="G35" authorId="0" shapeId="0">
      <text>
        <t xml:space="preserve">guang:
3/28 W4*1 OK(648)
6/20 W4*1 OK(648)
1/16 W4*1 OK(648)
11/21 W4*1 OK(648)
3/4 W4*1 OK(648)
21/7/14 W4*1 OK(648-1185)
</t>
      </text>
    </comment>
    <comment ref="H35" authorId="0" shapeId="0">
      <text>
        <t xml:space="preserve">guang:
3/31 W5*1 OK(648)
4/5 出1台(三廠)
6/26 W5*1 OK(648)
guang:
7/4 出1台(三廠)
1/19 W5*1 OK(648)
1/29 出1台(三廠)
11/26 W5*1 OK(648)
12/6 出1台(三廠)
3/7 W5*1 OK(648)
3/13 出1台(三廠-HA19022302)
21/7/21 W5*1 OK(648-000400001185)
7/27 出1台(三廠-HA21070501-100000733-000400001185)
</t>
      </text>
    </comment>
    <comment ref="C36" authorId="0" shapeId="0">
      <text>
        <t xml:space="preserve">guang:
24/7/11 入1台(LD-#4808)
8/19 入1台(LD-#4808-換)
guang:
</t>
      </text>
    </comment>
    <comment ref="D36" authorId="0" shapeId="0">
      <text>
        <t xml:space="preserve">guang:
11/08 W1*1 OK(408)
guang:
24/8/23 W1*1 OK(813-#4808)-換
</t>
      </text>
    </comment>
    <comment ref="E36" authorId="0" shapeId="0">
      <text>
        <t xml:space="preserve">guang:
11/20 W2*1 OK(351)
24/9/3 W2*1 OK(813-#4808)-換
</t>
      </text>
    </comment>
    <comment ref="G36" authorId="0" shapeId="0">
      <text>
        <t xml:space="preserve">guang:
11/20 W4*1 OK(648)
guang:
24/9/5 W4*1 OK(648-#4808)-換
</t>
      </text>
    </comment>
    <comment ref="H36" authorId="0" shapeId="0">
      <text>
        <t xml:space="preserve">guang:
11/26 W5*1 OK(648)
11/29 出1台(三廠-HA19110801)
guang:
24/9/16 W5*1 OK(648-#4808)
9/25 出1台(三廠-HA24082301-100002965-#4808)
guang:
guang:
</t>
      </text>
    </comment>
    <comment ref="L36" authorId="0" shapeId="0">
      <text>
        <t xml:space="preserve">guang:
24/7/18 NG*1(LD-#4808)包砂，T溝破
guang:
8/9 出1台(LD-#4808-載走)
guang:
</t>
      </text>
    </comment>
    <comment ref="C37" authorId="0" shapeId="0">
      <text>
        <t xml:space="preserve">guang:
7/7 入1台(YZ)
9/11 入1台(YZ)
10/5 入1台(YZ)-換
10/20 入1台(YZ)-換
8/17 入1台(YZ)(4基準溝-填滿)
</t>
      </text>
    </comment>
    <comment ref="D37" authorId="0" shapeId="0">
      <text>
        <t xml:space="preserve">guang:
8/21 W1*1 OK(408)
9/20 W1*1 OK(408)
10/13 W1*1 OK(408)
11/17 W1*1 OK(523)
10/26 W1*1 OK(408)(4基準溝-填滿)
</t>
      </text>
    </comment>
    <comment ref="E37" authorId="0" shapeId="0">
      <text>
        <t xml:space="preserve">guang:
8/29 W2*1 面砂孔(NG)
9/14 廠商載回
9/27 W2*1 面砂孔(NG)
10/20 廠商載回
10/26 W2*1 OK(410)
guang:
11/23 W2*1 面砂孔(NG)
12/7 廠商載回(YZ)
11/6 W2*1 OK(351)(4基準溝-填滿)
</t>
      </text>
    </comment>
    <comment ref="G37" authorId="0" shapeId="0">
      <text>
        <t xml:space="preserve">guang:
10/26 W4*1 OK(648)
11/7 W4*1 OK(648)(4基準溝-填滿)
</t>
      </text>
    </comment>
    <comment ref="H37" authorId="0" shapeId="0">
      <text>
        <t xml:space="preserve">guang:
6/27 出1台
11/1 W5*1 OK(648)
11/28 出1台
guang:
4/24 入1台(傑浩)
11/12 W5*1 OK(648)(4基準溝-填滿)
11/13 出1台(3 廠)(4基準溝-填滿)
guang:
23/1/3 出1台(傑浩加工-100002160)
</t>
      </text>
    </comment>
    <comment ref="C38" authorId="0" shapeId="0">
      <text>
        <t>guang:
10/21 入1台(CFC)
11/5 入1台(CFC)
12/31 入2台(CFC)
21/1/13 入1台(CFC)
3/26 入1台(CFC)
4/1 入1台(CFC)
4/27 入2台(CFC)
4/30 入1台(CFC)
5/24 入2台(CFC)
5/28 入1台(CFC)
6/23 入3台(CFC)
6/26 入1台(CFC)
22/5/31 入1台(CFC-#2824)
guang:
23/1/10 入1台(CFC-#3342)
5/2 入1台(CFC-#3513)
6/27 入1台(CFC-#3651)
11/29 入1台(CFC-#4088)
24/1/31 入1台(CFC-#4293)
2/27 入1台(CFC-#4360)
3/13 入1台(CFC-#4391)
4/2 入2台(CFC-#4467)
25/11/13 入2台(CFC-#6020)
12/11 入2台(CFC-#6103)</t>
      </text>
    </comment>
    <comment ref="D38" authorId="0" shapeId="0">
      <text>
        <t xml:space="preserve">guang:
10/23 W1*1 OK(408)
11/9 W1*1 OK(408)
21/1/4 W1*1 OK(408)
1/8 W1*1 OK(408)
1/19 W1*1 OK(408)
3/30 W1*1 OK(408)
4/8 W1*1 OK(408)
5/10 W1*1 OK(408)
5/11 W1*1 OK(408)
5/12 W1*1 OK(408)
5/27 W1*1 OK(408)
5/28 W1*1 OK(408)
6/1 W1*1 OK(408)
22/3/17 W1*1 OK(409-#902)
3/18 W1*1 OK(409-#1036)
3/19 W1*1 OK(409-#1036)
6/10 W1*1 OK(813-#2824)
001289:
23/2/3 W1*1 OK(813-#3342)
guang:
5/11 W1*1 OK(409-#3513)
7/10 W1*1 OK(410-#3651)
guang:
24/1/10 W1*1 OK(409-#4088)
2/27 W1*1 OK(410-#4293)
3/4 W1*1 OK(410-#4360)
3/26 W1*1 OK(409-#4391)
4/8 W1*1 OK(410-#4467)
4/10 W1*1 OK(410-#4467)
</t>
      </text>
    </comment>
    <comment ref="E38" authorId="0" shapeId="0">
      <text>
        <t xml:space="preserve">guang:
10/27 W2*1 OK(411)
11/12 W2*1 OK(411)
21/1/6 W2*1 OK(411)
1/12 W2*1 OK(411)
1/28 W2*1 OK(411)
4/8 W2*1 OK(411)
4/12 W2*1 OK(411)
5/13 W2*1 OK(411)
5/17 W2*1 OK(411)
6/1 W2*1 OK(411)
6/17 W2*1 OK(411)
6/21 W2*1 OK(411)
8/17 W2*1 OK(411-608)
22/3/23 W2*1 OK(411-#902)
3/24 W2*1 OK(411-#1036)
3/29 W2*1 OK(411-#1036)
6/22 W2*1 OK(411-#2824)
23/2/13 W2*1 OK(411-#3342)
5/30 W2*1 OK(411-#3513)
7/13 W2*1 OK(411-#3651)
guang:
24/1/23 W2*1 OK(411-#4088)
3/11 W2*1 OK(411-#4293)
3/13 W2*1 OK(411-#4360)
4/8 W2*1 OK(411-#4391)
4/11 W2*1 OK(411-#4467)
4/15 W2*1 OK(411-#4467)
</t>
      </text>
    </comment>
    <comment ref="H38" authorId="0" shapeId="0">
      <text>
        <t xml:space="preserve">guang:
10/28 W3*1 OK(648)
10/28 出1台(三廠-HA20102301-機號:28288)
11/13 W3*1 OK(648)
11/16 出1台(本廠-HA20110901-機號:28313)
21/1/7 W3*1 OK(648)
1/13 W3*1 OK(648)
11/22 出1台(本廠-HA21010401-100000268)
21/2/1 W3*1 OK(648)
3/4 出1台(本廠-HA21011901-100000358)
3/23 出1台(本廠-HA21010801-100000405-0045)
4/9 W3*1 OK(648-000400000045)
4/12 W3*1 OK(648-000400000459)
4/20 出1台(本廠-HA21040801-100000489-000400000459)
5/18 W3*1 OK(648-000400000608)
5/19 W3*1 OK(648-000400000608)
6/1 W3*1 OK(648-000400000516)
6/1 W3*1 OK(648-000400000836)
6/2 出1台(本廠-HA21051001-100000704-000400000608)
6/2 出1台(本廠-HA21051101-100000703-000400000516)
6/21 W3*1 OK(648-000400000836)
6/22 W3*1 OK(648-000400000902)
8/6 出1台(本廠-HA21060101-100000809-000400000902)
8/25 W3*1 OK(648-000400000686)
10/18 出1台(台典研-轉本廠-HA21081301-100001144-000400000608)
11/12 出1台(本廠-HA21040801-100001264-000400000459)
12/30 出1台(本廠-HA21052701-100001392-000400000836)
22/2/24 出1台(本廠-HA21052801-100001480-000400000836)
3/8 出1台(本廠-HA21051201-100001525-000400000686)
3/29 W3*1 OK(648-000400000902)
3/30 W3*2 OK(648-000400001036)
4/28 出1台(本廠-HA22031701-100001723-000400000902)
6/2 出1台(本廠-HA22031801-100001784-000400001036)-抽單改100001943
6/23 W3*2 OK(648-000400002824)
7/28 出1台(本廠-HA22061001-100001889-000400002824)
11/24 出1台(本廠-HA22031901-100002113-000400001036)
001289:
11/30 出1台(本廠-HA22033001-100002143-000400000045)
guang:
23/2/15 W3*1 OK(648-000400003342)
4/10 出1台(本廠-HA23020301-100002357-000400003342)
6/5 W3*1 OK(648-000400003513)
6/8 出1台(本廠-HA23051101-100002401-000400003513)
7/17 W3*1 OK(648-#3651)
8/1 出1台(本廠-HA23070801-100002492-000400003651)
guang:
24/1/25 W3*1 OK(648-#4088)
2/27 出1台(本廠-HA24011001-100002708-000400004088)
3/14 W3*1 OK(648-#4293)
3/18 出1台(本廠-HA24022901-100002762-000400004293)
3/18 W3*1 OK(648-#4360)
3/25 出1台(本廠-HA24030401-100002709-000400004360)
4/9 W3*1 OK(648-#4391)
4/15 W3*1 OK(648-#4467)
4/22 W3*1 OK(648-#4467)
25/2/24 出1台(本廠-HA24040801-100003139-000400004467)
3/12 出1台(本廠-HA24032601-100003140-000400004391)
10/20 出1台(本廠-HA24041001-100003413-000400004467)
</t>
      </text>
    </comment>
    <comment ref="C39" authorId="0" shapeId="0">
      <text>
        <t xml:space="preserve">guang:
22/10/26 入1PS(CFC-#3198)
</t>
      </text>
    </comment>
    <comment ref="D39" authorId="0" shapeId="0">
      <text>
        <t xml:space="preserve">guang:
10/28 W1*1 OK(409-#3198)
</t>
      </text>
    </comment>
    <comment ref="E39" authorId="4" shapeId="0">
      <text>
        <t xml:space="preserve">001289:
11/2 W2*1 OK(411-#3198)
</t>
      </text>
    </comment>
    <comment ref="H39" authorId="4" shapeId="0">
      <text>
        <t xml:space="preserve">001289:
11/4 W3*1 OK(648-0004000003198)
11/24 出台典研1台(本廠-HA22102801-100002015-000400003198)_18T溝
guang:
</t>
      </text>
    </comment>
  </commentList>
</comments>
</file>

<file path=xl/comments/comment4.xml><?xml version="1.0" encoding="utf-8"?>
<comments xmlns="http://schemas.openxmlformats.org/spreadsheetml/2006/main">
  <authors>
    <author>guang</author>
    <author>hsinwei</author>
    <author>ralf</author>
    <author>001289</author>
  </authors>
  <commentList>
    <comment ref="F2" authorId="0" shapeId="0">
      <text>
        <t>guang:
3/2 M5*1 OK</t>
      </text>
    </comment>
    <comment ref="G2" authorId="0" shapeId="0">
      <text>
        <t xml:space="preserve">guang:
7/27 出1台(三廠)
</t>
      </text>
    </comment>
    <comment ref="E3" authorId="0" shapeId="0">
      <text>
        <t xml:space="preserve">guang:
1/7 M6*1 OK(17M)
10/22 M6*1 OK(17M)
10/27 M6*1 OK(17M)
</t>
      </text>
    </comment>
    <comment ref="C4" authorId="0" shapeId="0">
      <text>
        <t xml:space="preserve">guang:
3/19 入1台(YZ)(NEW)
3/30 入1台(YZ)(NEW)
4/11 入1台(YZ)(NEW)
</t>
      </text>
    </comment>
    <comment ref="E4" authorId="0" shapeId="0">
      <text>
        <t xml:space="preserve">guang:
4/30 M6*1 OK(17M)
5/2 M6*1 OK(17M)
25/5/27 M6*1 OK(17M)
</t>
      </text>
    </comment>
    <comment ref="F4" authorId="0" shapeId="0">
      <text>
        <t xml:space="preserve">guang:
7/20 M5*1 OK(813)
7/24 M5*1 OK(813)
7/24 出1台(轉台典研-HA18072002)
8/2 出1台(轉台典研-HA18072402)
25/6/6 M5*1 OK(813)(000400005768)
</t>
      </text>
    </comment>
    <comment ref="G4" authorId="1" shapeId="0">
      <text>
        <t xml:space="preserve">hsinwei:
25/06/23 ok
06/24出三廠(HA25060601-000400005768-100003301)
</t>
      </text>
    </comment>
    <comment ref="C5" authorId="2" shapeId="0">
      <text>
        <t xml:space="preserve">ralf:
12/12 4支送傑晃加工guang:
5/10 入2台(YZ)
7/11 入1台(YZ-換)
</t>
      </text>
    </comment>
    <comment ref="E5" authorId="2" shapeId="0">
      <text>
        <t xml:space="preserve">ralf:
NG品*1guang:
5/30 M6*1 OK(410)
5/31 M6*1 OK(410)
long:
7/26 m6*1 ok(523)
guang:
12/22 出1台(報廢)
</t>
      </text>
    </comment>
    <comment ref="F5" authorId="0" shapeId="0">
      <text>
        <t xml:space="preserve">guang:
3/13台偉入6台
3/13台偉入4台
4/17 入 6支(傑晃)
5/12 台偉入6台
7/10 台偉入4台
guang:
6/5 M5*1 OK(410)
6/6 M5*1 OK(410)
7/29 M5*1 OK(523)
</t>
      </text>
    </comment>
    <comment ref="G5" authorId="2" shapeId="0">
      <text>
        <t xml:space="preserve">ralf:
3/24 出4支
3/28 出1支
4/18 出1支(本廠)
5/3  出1台(本廠)
5/15  出5台(本廠)
5/17  出1台(本廠)
6/01  出2台(本廠)
6/12  出2台(本廠)
6/14  出1台(本廠)
6/28  出3台(本廠)
7/20  出1台(本廠)
8/2  出3台(本廠)
8/21  出1台(本廠)
6/28 研*2 OK
6/28  出1台(本廠-HA19060402)
7/12  出1台(本廠-HA19060601)
8/5 研*1 OK
8/5  出1台(本廠-HA19073002)
</t>
      </text>
    </comment>
    <comment ref="C6" authorId="0" shapeId="0">
      <text>
        <t xml:space="preserve">guang:
3/7 入2台(YZ)
4/17 入1台(YZ)
5/22 入1台(YZ)(新板)
6/5 入2台(YZ)(新板)
7/19 入1台(YZ)(新板)
9/6 入1台(YZ)(新板)
9/14 入1台(YZ)(新板)
9/26入1台(YZ)(新板)
10/16入1台(YZ)(新板)
10/26入1台(YZ)(新板)
10/27 入1台(YZ)(新板)
1/4 入1台(YZ)(新板)
1/15 入1台(YZ)(NEW)
3/1 入1台(YZ)(NEW)
3/5 入2台(YZ)(NEW)
3/12 入2台(YZ)(NEW)
5/14 入2台(YZ)(NEW)
5/16 入1台(YZ)(NEW)
6/8 入2台(YZ)(NEW)
7/11 入2台(YZ)(NEW)
7/20 入1台(YZ)(NEW)
7/30 入1台(YZ)(NEW)
11/22 入2台(YZ)(NEW)
11/28 入2台(YZ)(NEW)
3/6 入2台(YZ)(NEW)
3/11 入1台(YZ)(NEW)
6/17 入2台(YZ)(NEW)
21/6/28 入1台(YZ)(NEW)
22/6/21 入2台(YZ-#2820-#2874)
6/24 入1台(LD-#2897)
hsinwei:
25/10/7 入1台(LD-#5984)
</t>
      </text>
    </comment>
    <comment ref="E6" authorId="2" shapeId="0">
      <text>
        <t xml:space="preserve">ralf:
4/24 M6*1OK(17米)
5/27 M6*1OK(17米)(新)
6/19 M6*1OK(17米)(新)
6/20 M6*1OK(17m)(新
7/21M6*1OK(17M)(新
9/11M6*1OK(17M)(新
9/20M6*1OK(17M)(新
10/2M6*1OK(17M)(新
10/25M6*1OK(17M)(新)
10/26M6*1OK(17M)(新)
11/1M6*1OK(17M)(新)
11/2 M6*1OK(17M)(新)
11/13 M6*1OK(17M)(新)
2/12 M6*1OK(17M)(新)
2/13 M6*2 OK(17M)(新)
3/28 M6*1 OK(17M)(新)
3/29 M6*1 OK(17M)(新)
4/11 M6*1 OK(17M)(新)
4/12 M6*1 OK(17M)(新)
4/25 M6*1 OK(17M)(新)
5/22 M6*1 OK(17M)(新)
6/5 M6*1 OK(17M)(新)
6/6 M6*1 OK(17M)(新)
long:
6/21 M6*1 OK(17M新)
6/22 M6*1 OK(17M新)
9/19 M6*1 OK(17M)(新)
9/20 M6*1 OK(17M)(新)
10/11 M6*1 OK(17M)(新)
11/8 M6*1 OK(17M)(新)
11/9 M6*1 OK(17M)(新)
1/2 M6*1 OK(17M)(新)
1/3 M6*1 OK(17M)(新)
1/4 M6*1 OK(17M)(新)
1/5 M6*1 OK(17M)(新)
8/18 M6*1 OK(17M)(新)
8/21 M6*1 OK(17M)(新)
8/25 M6*1 OK(17M)(新)
21/6/29 M6*1 OK(17M)(新)
6/30 M6*1 OK(17M)(新)
8/9 M6*1 OK(17M)
8/10 M6*1 OK(17M)
22/6/29 M6*1 OK(17M-#2820)
7/1 M6*1 OK(17M-#2874)
7/4 M6*1 OK(17M-#2897)
guang:
25/10/13 M6*1 OK(17M-#5984)
</t>
      </text>
    </comment>
    <comment ref="F6" authorId="2" shapeId="0">
      <text>
        <t xml:space="preserve">
guang:
6/3 M5*1 OK(410)
6/27 M5*1 OK(410)
6/29 M5*1 OK(410)
7/27 M5*1 OK(409)
9/13 M5*1 OK(409)
9/22 M5*1 OK(409)
10/12 M5*1 OK(409)
11/1 M5*1 OK(409)
11/27 M5*1 OK(409)
12/27 M5*1 OK(409)
12/28 M5*1 OK(409)
1/02 M5*1 OK(409)
2/27 M5*1 OK(409)
3/13 M5*1 OK(409)
3/24 M5*1 OK(409)
4/9 M5*1 OK(409)
4/11 M5*1 OK(409)
4/24 M5*1 OK(409)
4/25 M5*1 OK(409)
4/27 M5*1 OK(409)
6/4 M5*1 OK(409)
long:
6/19 M5*1 OK(409)
6/21 M5*1 OK(409)
6/27 M5*1 OK(409)
6/29 M5*1 OK(409)
9/27 M5*1 OK(409)
10/1 M5*1 OK(409)
10/19 M5*1 OK(409)
11/19 M5*1 OK(409)
11/22 M5*1 OK(409)
2/20 M5*1 OK(409)
2/22 M5*1 OK(409)
2/26 M5*1 OK(409)
3/5 M5*1 OK(409)
21/3/17 M5*1 OK(410-H08000807)
3/24 M5*1 OK(410-H08000807)
3/30 M5*1 OK(410-H08000808-#2897)
7/13 M5*1 OK(410-000400001077)
7/16 M5*1 OK(410-000400001077)
8/17 M5*1 OK(410-000400001158)
8/20 M5*1 OK(410-000400001158)
22/8/20 M5*1 OK(410-000400002874)
8/25 M5*1 OK(410-000400002820)
8/29 M5*1 OK(410-#2897-H08000808)
25/10/22 M5*1 OK(410-000400005984)
guang:
guang:
hsinwei:
</t>
      </text>
    </comment>
    <comment ref="G6" authorId="0" shapeId="0">
      <text>
        <t>guang:
1/23 出1台(3廠)
2/7 出1台(3廠)
2/8 出1台(本廠)
3/21 出1台(本廠)
4/18 出1台(本廠)
5/29 出1台(3廠)
6/4 出1台(本廠)
6/8 出1台(本廠)
6/19 出1台(3廠)
7/25 出2台(本廠)
8/23 出1台(本廠)
9/27 出1台(3廠)
10/23 研*1 OK
10/25 研*1 OK
10/29 研*1 OK
11/6 研*1 OK
11/12 出1台(6路)
11/19 出2台(6路)
1/25 出1台(6路-HA18062901)
1/31 研*1 OK
2/12 研*1 OK
1/25 出2台(6路-HA18111901,HA18092901)
7/31 研*1 OK
11/5 研*1 OK
12/4 研*1 OK
5/5 研*1 OK
12/11 出1台(6路-HA19022202-26787)
21/2/5 出1台(6路-HA19022002-100000248)
3/4 出1台(6路-HA19022601-100000216)
3/23 出1台(6路-HA18112201-100000425)
3/24 出1台(3廠-HA18120602-100000298)
4/9 出1台(3廠-HA18060401-100000485)
4/14 研*1 OK
4/15 研*1 OK
5/6 出1台(6路-HA21031701-100000395-H08000807)
5/6 出1台(6路-HA21032301-100000396-H08000807)
5/22 研*1 OK(H08000808)
8/5 研*1 OK(000400001077)
11/25 研*2 OK(000400001158)
22/3/29 出1台(3廠-HA21082001-100001656-000400001158)
4/25 出1台(3廠-HA21071301-100001436-000400001077)
guang:
5/11 出1台(3廠-HA21071601-100001437-000400001077)
9/8 研*1 OK(000400002820)
001289:
10/14 研*1 OK(000400002897)
001289:
23/5/2 出1台(3廠-HA22082501-100002321-000400002820)
6/27 研*1 OK(000400002874)
10/16 出1台(3廠-HA22082001-100002504-000400002874)
guang:
24/4/22 出1台(本廠-HA21032901-100002782-#2897-H08000808)
25/3/24 出1台(3廠-HA21081701-100003244-000400001158)
guang:
25/10/29 研*1 OK(000400005984)
11/3 出1台(本廠-HA22082901-100003402-000400002897)
11/3 出1台(本廠-HA25102101-100003406-000400005984)</t>
      </text>
    </comment>
    <comment ref="C7" authorId="0" shapeId="0">
      <text>
        <t xml:space="preserve">guang:
5/25 入1台(YZ)(NEW)
8/9 入1台(YZ)(NEW)
9/6 入1台(YZ)(NEW)
9/27 入1台(YZ)(NEW)
5/17 入2台(YZ)(NEW)
6/10 入1台(YZ)(NEW)
7/15 入1台(YZ)(NEW)
7/16 入1台(YZ)(NEW)
21/4/8 入1台(YZ)(NEW)
4/19 入1台(YZ)(NEW)
5/5 入1台(YZ)(NEW)
5/6 入1台(YZ)(NEW)
22/7/18 入1台(LD-#2926)
8/12 入1台(LD-#3052)
guang:
23/2/10 入1台(LD-#3394)
4/6 入1台(LD-#3463)
24/11/15 入1台(LD-#5185)
guang:
12/18 入1台(LD-#5297)
</t>
      </text>
    </comment>
    <comment ref="E7" authorId="0" shapeId="0">
      <text>
        <t xml:space="preserve">guang:
7/6 M6*1OK(17M)(加工有問題)---OK    8/8M6*1OK(17M)
8/9 M6*1OK(17M)
6/21 M6*1 OK(17M)
8/13 M6*1 OK(17M)
8/14 M6*1 OK(17M)
9/21 M6*1 OK(17M)
10/12 M6*1 OK(17M)
12/23 M6*1 OK(17M)
12/25 M6*1 OK(17M)
7/9 M6*1 OK(17M)
7/27 M6*1 OK(17M)
7/29 M6*1 OK(17M)
21/4/13 M6*1 OK(17M)
4/23 M6*1 OK(17M)
8/30 M6*1 OK(17M-502)
9/1 M6*1 OK(17M-658)
22/7/23 M6*1 OK(17M-#2926)
8/22 M6*1 OK(17M-#3052)
23/2/20 M6*1 OK(17M-#3394)
4/10 M6*1 OK(17M-#3463)
24/11/21 M6*1 OK(17M-#5185)
12/28 M6*1 OK(17M-#5297)
</t>
      </text>
    </comment>
    <comment ref="F7" authorId="0" shapeId="0">
      <text>
        <t xml:space="preserve">guang:
8/22 M5*1 OK(409)
1/22 M5*1 OK(409)
3/27 M5*1 OK(409)
6/25 M5*1 OK(409)
8/18 M5*1 OK(409)
9/4 M5*1 OK(409)
10/3 M5*1 OK(409)
10/24 M5*1 OK(813)
12/30 M5*1 OK(410)
1/8 M5*1 OK(410)
7/28 M5*1 OK(410)
8/4 M5*1 OK(410)
8/7 M5*1 OK(410)
21/6/21 M5*1 OK(410-H08000810)
6/24 M5*1 OK(410-H08000810)
9/29 M5*1 OK(410-000400000658)
10/4 M5*1 OK(410-000400000502)
22/7/30 M5*1 OK(410-000400002926)
9/15 M5*1 OK(410-000400003052)
23/3/3 M5*1 OK(410-000400003394)
4/17 M5*1 OK(410-000400003463)
24/12/4 M5*1 OK(410-000400005185)
25/1/8 M5*1 OK(410-000400005297)
</t>
      </text>
    </comment>
    <comment ref="G7" authorId="2" shapeId="0">
      <text>
        <t xml:space="preserve">ralf:
9/8 研磨OK*1
ralf:
此庫存需搭配特殊版金 側邊
guang:
2/22 出1台(特殊 側邊板金)
guang:
5/17 出1台(三廠)
5/24 出1台(三廠)
7/9 出1台(三廠)
8/30 研磨OK*1
8/30 出1台(三廠)
10/19 研磨OK*1
11/16 研磨OK*1
4/8 出1台(三廠-HA18090301)
12/10 出1台(6路-HA18100302)
2/19 出1台(6路-HA18102602)
2/27 研磨OK*1
4/9 出1台(6路-HA19123001-27838)
8/21 研磨OK*1
9/15 研磨OK*2
9/30 出1台(6路-HA20080401-27839)
guang:
入*1(本廠退回)
21/1/20 出1台(三廠-HA20080401-100000242)
8/10 研磨OK*1(H080000810)
8/26 出1台(三廠-HA20010801-100000941-000400000749)
9/11 研磨OK*1(H080000810)
10/20  研磨OK*1(000400000502)
11/5  研磨OK*1(000400000658)
22/1/4 出1台(本廠-HA20072801-100001266-000400000749)
1/5 出1台(三廠-HA21062101-100000941-H080000810)
1/7 出1台(三廠-HA20080701-100000902-000400000790)
3/15 出1台(三廠-HA21100401-100001582-000400000502)
5/9 出1台(三廠-HA21062401-100001583-H080000810)
7/21 出1台(三廠-HA21092901-100001942-000400000790)
9/1  研磨OK*1(000400002926)
001289:
11/11  研磨OK*1(000400003052)
guang:
23/1/5 出1台(三廠-HA22091501-100002087-000400003052)
3/16 出1台(三廠-HA22073001-100002247-000400002926)
4/13  研磨OK*1(000400003394)
4/13 出1台(三廠-HA23030301-100002292-000400003394)
6/5  研磨OK*1(000400003463)
24/10/18 出1台(三廠-HA23041701-100002950-000400003463)
12/27  研磨OK*1(000400005158)
12/31 出1台(三廠-HA24120401-100003083-000400005185)
001289:
25/1/22 出1台(三廠-HA25010801-100002935-000400005297)
</t>
      </text>
    </comment>
    <comment ref="C8" authorId="2" shapeId="0">
      <text>
        <t xml:space="preserve">ralf:guang:
3/17 入1支(CFC)
3/20 入1支(CFC)
3/21 入1台(YJF)
3/23 入1台(YJF)
3/28 入1台(YJF)
3/30 入1台(YJF)
4/10 入2台(YJF)
4/27 入2支(CFC)
6/1 入2支(YJF)
7/20 入2支(YJF)
7/27 入3支(YJF)
8/11 入1台(CFC)
9/20 入1台(CFC)(new)
12/1 入1台(CFC)(new)
12/21 入1台(CFC)(new)
1/3 入1台(YJF)(new)
1/10 入2支(YJF)(OLD)
1/18 入1支(YJF)(OLD)
1/18 入1台(CFC)(new)
1/22 入1支(YJF)(OLD)
1/23 入1台(CFC)(new)
1/26 入1台(CFC)(new)
1/31 入1台(CFC)(new)
2/2 入1台(CFC)(new)
3/14 入2台(CFC)(new)
4/10 出2台(CFC)(轉隆升加工)
4/11 出3台(CFC)(轉隆升加工)
4/26 入2支(YJF)(NEW)
4/30 入1台(YJF)(NEW)
5/11 入2支(YJF)(NEW)
5/17 入1台(YJF)(NEW)
5/21 入1台(YJF)(NEW)
5/24 出2台(YJF)(轉隆升加工)
5/28 出3台(YJF)(轉隆升加工)
5/31 入1台(YJF)(NEW)
7/3 入2台(YJF)(NEW)
11/19 入1台(CFC)(new)
1/2 入3台(CFC)(new)
3/25 入3台(CFC)(new)
4/15 入2台(YJF)(NEW)
4/29 入2台(YJF)(NEW)
5/14 入1台(CFC)(NEW)
5/28 入1台(CFC)(NEW)
6/14 入1台(CFC)(NEW)
6/20 入1台(YJF)(NEW)
6/27 入1台(CFC)(NEW)
6/28 入2台(YJF)(NEW)
7/4 入1台(YJF)(NEW)
8/28 入1台(CFC)(NEW)
9/9 入1台(CFC)(NEW)
1/9 入1台(CFC)(NEW)
3/20 入2台(CFC)(NEW)
3/24 入1台(CFC)(NEW)
3/25 入1台(CFC)(NEW)
4/8 入2台(CFC)(NEW)
4/20 入1台(CFC)(NEW)
8/27 入2台(CFC)(NEW)
10/26 入2台(CFC)(NEW)
11/26 入2台(CFC)(NEW)
12/11 入2台(YJF)(NEW)
21/2/2 入1台(YJF)(NEW)
2/18 入1台(YJF)(NEW)
2/23 入1台(YJF)(NEW)
4/1 入1台(YJF)(NEW)
5/11 入1台(YJF)(NEW)
5/14 入1台(CFC)(NEW)
5/19 入1台(YJF)(NEW)
5/21 入1台(YJF)(NEW)
6/2 入1台(YJF)(NEW)
6/3 入1台(CFC)(NEW)
6/15 入2台(YJF)(NEW)
6/23 入1台(YJF)(NEW)
7/2 入1台(CFC)(NEW)
7/6 入3台(YJF)(NEW)
22/3/3 入1台(CFC-#2393)
3/3 入1台(CFC-#2394)
5/23 入2台(CFC-#2787)
6/9 入1台(CFC-#2855)
hsin:
6/13 入1台(YJF-#0962)
8/25 入2台(YJF-#3076)
23/4/7 入1台(CFC-#3472)
5/2 入1台(CFC-#3515)
5/17 入1台(CFC-#3556)
6/13 入1台(CFC-#3617)
7/25 入1台(CFC-#3731)
24/1/10 入1台(CFC-#4225)
5/15 入1台(YJF-#4570)
7/9 入1台(CFC-#4784)
7/11 入1台(CFC-#4815)
8/1 入1台(CFC-#4869)
8/2 入1台(YJF-#4864)
9/3 入1台(CFC-#4953)
guang:
25/3/18 入2台(CFC-#5571)
4/1 入1台(YJF-#5595)
4/7 入1台(YJF-#5595)
4/18 入1台(CFC-#5675)
4/23 入1台(CFC-#5675)
</t>
      </text>
    </comment>
    <comment ref="E8" authorId="0" shapeId="0">
      <text>
        <t xml:space="preserve">guang:
8/1 M6*1 OK(17M)
11/3 M6*1 OK(17M)
11/4 M6*1 OK(17M)
11/6 M6*1 OK(17M)
1/29 M6*1ok(17M)(new)
2/21 M6*1ok(17M)(new)
2/22 M6*1ok(17M)(old)
3/2 M6*2 OK(17M)(old)
7/28 M6*1OK(17M)(new)
7/30 M6*1OK(17M)(new)
7/31 M6*1OK(17M)(new)
9/25 M6*1OK(17M)(new)
10/15 M6*1OK(17M)(new)-設變孔位
10/16 M6*1OK(17M)(new)-設變孔位
11/2 M6*1OK(17M)(new)-設變孔位
11/12 M6*1OK(17M)(new)-設變孔位
2/14 M6*1OK(17M)(new)-設變孔位
2/15 M6*1OK(17M)(new)-設變孔位
2/22 M6*1OK(17M)(new)-設變孔位
2/23 M6*1OK(17M)(new)-設變孔位
3/12 M6*1OK(17M)(new)-設變孔位
3/13 M6*1OK(17M)(new)-設變孔位
3/14 M6*1OK(17M)(new)-設變孔位
4/17 M6*1OK(17M)(new)-設變孔位
4/26 M6*2OK(17M)(new)
6/12 M6-2*2 OK(408)(new)
6/13 M6-2*2 OK(408)(new)
6/26 M6-2*1 OK(408)(new)
7/4 M6*1OK(17M)(new)
7/5 M6*1OK(17M)(new)
7/8 M6*1OK(17M)(new)
7/9 M6*1OK(17M)(new)
12/10 M6*1OK(17M)(new)
12/12 M6*1OK(17M)(new)
2/3 M6*1OK(17M)(new)
4/27 M6*1OK(17M)(new)
4/28 M6*1OK(17M)(new)
5/4 M6*1OK(17M)(new)
5/6 M6*1OK(17M)(new)
5/7 M6*1OK(17M)(new)
8/12 M6*1OK(17M)(new)
8/14 M6*1OK(17M)(new)
9/14 M6*1OK(17M)(new)
9/17 M6*1OK(17M)(new)
12/14 M6*1OK(17M)(new)
12/16 M6*1OK(17M)(new)
21/2/2 M6*1OK(17M)(new)
2/4 M6*1OK(17M)(new)
2/5 M6*1OK(17M)(new)
2/17 M6*1OK(17M)(new)
3/3 M6*1OK(17M)(H08000776)
3/4 M6*1OK(17M)(H08000776)
4/8 M6*1 OK(17M)(H08000776)
5/24 M6*1 OK(17M)(H08000776)
5/25 M6*1 OK(17M)(H08000776)
5/26 M6*1 OK(17M)(000400000381)
5/28 M6*1 OK(17M)(000400000381)
6/19 M6*1 OK(17M)(000400000381)
6/21 M6*1 OK(17M)(000400000730)
6/22 M6*1 OK(17M)(000400000837)
6/24 M6*1 OK(17M)(000400000381)
6/26 M6*1 OK(17M)(000400000381)
7/30 M6*1 OK(17M)(000400000381)
8/3 M6*1 OK(17M)(000400001073)
8/4 M6*1 OK(17M)(000400001103)
8/27 M6*1 OK(17M)(000400001037)
22/3/17 M6*1 OK(17M-#2394)
3/19 M6*1 OK(17M-#2393)
6/2 M6*1 OK(17M-#2787)
6/7 M6*1 OK(17M-#2787)
6/17 M6*1 OK(17M-#2855)
6/28 M6*1 OK(17M-#962)
9/1 M6*1 OK(17M-#3076)
9/5 M6*1 OK(17M-#3076)
23/4/12 M6*1 OK(17M-#3472)
5/11 M6*1 OK(17M-#3515)
6/28 M6*1 OK(17M-#3556)
7/10 M6*1 OK(17M-#3617)
8/1 M6*1 OK(17M-#3731)
24/1/15 M6*1 OK(17M-#4225)
5/27 M6*1 OK(17M-#4570)
7/16 M6*1 OK(17M-#4815)
7/17 M6*1 OK(17M-#4784)
8/7 M6*1 OK(17M-#4869)
8/9 M6*1 OK(17M-#4864)
9/21 M6*1 OK(17M-#4953)
guang:
25/3/21 M6*1 OK(17M-#5571)
3/25 M6*1 OK(17M-#5571)
4/26 M6*1 OK(17M-#5675)
4/29 M6*1 OK(17M-#5675)
7/11 M6*1 OK(17M-#5595)
7/16 M6*1 OK(17M-#5595)
</t>
      </text>
    </comment>
    <comment ref="F8" authorId="0" shapeId="0">
      <text>
        <t xml:space="preserve">guang:
7/3 M5*1 OK (410)
7/5 M5*1 OK (410)
7/17 M5*1 OK (409)
7/31 M5*1 OK (409)
8/2 M5*1 OK (409)
9/4 M5*1 OK (409)
9/30 M5*1 OK(409) 
10/3 M5*1 OK(409) 
10/14 M5*1 OK(409) 
10/30 M5*1 OK(409) 
12/5 M5*1 OK(409)
12/7 M5*1 OK(409) 
12/21 M5*1 OK(409) 
12/25 M5*1 OK(409) 
1/24 M5*1 OK(409) 
2/13 M5*1 OK(409) 
3/1 M5*1 OK(409) 
3/5 M5*1 OK(409) 
3/17 M5*1 OK(409) 
3/20 M5*1 OK(409)
8/15 M5*1 OK(409)
8/21 M5*1 OK(409)
8/23 M5*1 OK(409)
10/8 M5*1 OK(409)
10/20 M5*1 OK(409)
10/24 M5*1 OK(409)
10/27 M5*1 OK(409)
10/30 M5*1 OK(409)
2/20 M5*1 OK(410)
2/23 M5*1 OK(410)
3/7 M5*1 OK(410)
3/11 M5*1 OK(410)
3/21 M5*1 OK(410)
3/29 M5*1 OK(410)
4/2 M5*1 OK(410)
5/7 M5*1 OK(410)
5/9 M5*1 OK(410)
5/14 M5*1 OK(410)
6/14 M5*1 OK(410)
6/20 M5*1 OK(410)
6/25 M5*1 OK(410)
6/27 M5*1 OK(410)
7/3 M5*1 OK(410)
8/6 M5*1 OK(410)
8/13 M5*1 OK(410)
8/21 M5*1 OK(410)
8/29 M5*1 OK(410)
9/6 M5*1 OK(410)
12/17 M5*1 OK(410)
12/24 M5*1 OK(410)
2/21 M5*1 OK(410)
6/3 M5*1 OK(410)
6/9 M5*1 OK(410)
7/2 M5*1 OK(410)
7/8 M5*1 OK(410)
9/17 M5*1 OK(410)
9/23 M5*1 OK(410)
9/30 M5*1 OK(410)
10/8 M5*1 OK(410)
10/15 M5*1 OK(410)
21/1/6 M5*1 OK(410)
1/13 M5*1 OK(410)
1/19 M5*1 OK(410)
2/18 M5*1 OK(410)
2/22 M5*1 OK(410)
2/24 M5*1 OK(410)(HA21022401-000400000175)
3/3 M5*1 OK(410)
3/8 M5*1 OK(410)(HA21030801-H08000776)
3/12 M5*1 OK(410-H08000776)
5/14 M5*1 OK(410-H08000776)
6/4 M5*1 OK(410-H08000776)
6/8 M5*1 OK(410-H08000776)
6/11 M5*1 OK(410-000400000381)
6/16 M5*1 OK(410-000400000381)
6/28 M5*1 OK(410-000400000381)
7/1 M5*1 OK(410-000400000381)
7/6 M5*1 OK(410-000400000381)
7/20 M5*1 OK(410-000400000730)
8/2 M5*1 OK(410-000400000837)
8/10 M5*1 OK(410-000400001073)
8/27 M5*1 OK(410-000400000381)
8/31 M5*1 OK(410-000400001103)
9/3 M5*1 OK(410-000400001037)
22/3/26 M5*1 OK(410-000400002394)
3/30 M5*1 OK(410-000400002393)
6/17 M5*1 OK(410-000400002787)
6/22 M5*1 OK(410-000400002787)
6/25 M5*1 OK(410-000400002855)
7/22 M5*1 OK(410-000400000962)
9/27 M5*1 OK(410-000400003076)
10/3 M5*1 OK(410-000400003076)
23/4/21 M5*1 OK(410-000400003472)
6/30 M5*1 OK(410-000400003515)
7/6 M5*1 OK(410-000400003556)
8/4 M5*1 OK(410-000400003617)
8/14 M5*1 OK(410-000400003731)
24/2/20 M5*1 OK(410-000400004225)
6/25 M5*1 OK(410-000400004570)
7/23 M5*1 OK(410-000400004815)
7/30 M5*1 OK(410-000400004784)
8/22 M5*1 OK(410-000400004864)
8/28 M5*1 OK(410-000400004869)
9/27 M5*1 OK(410-000400004953)
guang:
25/4/24 M5*1 OK(410-000400005571)
4/29 M5*1 OK(410-000400005571)
5/16 M5*1 OK(410-000400005675)
5/22 M5*1 OK(410-000400005675)
7/31 M5*1 OK(410-000400005595)
9/9 M5*1 OK(410-000400005595)
</t>
      </text>
    </comment>
    <comment ref="G8" authorId="0" shapeId="0">
      <text>
        <t xml:space="preserve">guang:
1/21 出1台(三廠-HA19080602)
2/6 出1台(三廠-HA19082901)
3/2 出1台(三廠-HA19082101)
3/11 出1台(三廠-HA19070301)
3/12 研磨OK*1
3/20 研磨OK*1
3/24 研磨OK*1
3/25 研磨OK*1
3/30 出1台(三廠-HA190121701)
6/18 研磨OK*1
6/23 出1台 (本廠-HA20060301-機號:27836)
7/21 研磨OK*1
7/28 研磨OK*1
7/30 出1台 (本廠-HA20060901-機號:28231)
8/7 研磨OK*1
8/21 出1台 (三廠-HA20070201-機號:27877)
8/26 出1台 (本廠-HA20070801-機號:27837)
10/23 出1台 (本廠-HA19090501-機號:27878)
10/26 出1台(三廠-HA19070401-機號28320)
10/26 出1台(三廠-HA20022101-機號28321)
10/29 研磨OK*1
11/2 出1台(三廠-HA20091701-機號28325)
11/12 研磨OK*1
11/13 出1台(三廠-HA20092301-機號27912)
11/18 研磨OK*1
12/22 研磨OK*1
21/1/7 出1台(三廠-HA20093001-機號28316)
21/1/7 出1台(三廠-HA20101601-機號28317)
12/30 研磨OK*1
21/1/15 出1台(三廠-HA20100801-配100000205)
1/25 研磨OK*1
1/28 出1台(三廠-HA21010901-配100000206)
21/2/4 研磨OK*1
2/4 出1台(三廠-HA21011301-配100000296)
2/5 研磨OK*1
2/5 出1台(三廠-HA21011901-配100000243)
2/24 研磨OK*1
2/25 出1台(三廠-HA21021801-配100000244)
3/8 研磨OK*1
3/9 出1台(三廠-HA21022201-配100000249)
3/25 研磨OK*1
4/1 出1台(三廠-HA21022401-配100000544-000400000175)
3/26 研磨OK*1
4/14 研磨OK*1
4/29 研磨OK*1
5/12 出1台(三廠-HA21030301-配100000629)
5/14 出1台(三廠-HA21030801-100000630-H08000776)
6/8 研磨OK*1(H08000776)
7/2 出1台(三廠-HA21031201-100000919-H08000776)
7/1 研磨OK*2(000400000381*2)
7/10 研磨OK*2(H08000776*2)
8/25 出1台(三廠-HA21060801-100000743-H08000776)
9/29 研磨OK*1(000400000730*1)
9/29 研磨OK*1(000400000381*1)
10/12 出1台(三廠-HA21070601-100000967-000400000381)
10/26 研磨OK*1(000400001103*1)
11/4 出1台(三廠-HA21051401-100001062-H08000776)
11/9 出1台(三廠-HA21083101-100000181-000400001103)
12/2 出1台(三廠-HA21061101-100001313-000400000381)
12/9 出1台(三廠-HA21061601-100001332-000400000381)
22/2/14 研磨OK*2(000400001037*1-#381)
2/16 研磨OK*1(000400000837)
3/8 出1台(三廠-HA21082701-100001334-000400000381)
4/7 出1台(三廠-HA21080201-100001686-000400000837)
4/25 出1台(三廠-HA21060401-100001741-H08000776)
5/3 出1台(三廠-HA21070201-100001743-000400000730)
5/14 出1台(三廠-HA21030801-100000630-H08000776)
6/8 研磨OK*1(H08000776)
7/2 出1台(三廠-HA21031201-100000919-H08000776)
7/1 研磨OK*2(000400000381*2)
7/10 研磨OK*2(H08000776*2)
8/25 出1台(三廠-HA21060801-100000743-H08000776)
9/29 研磨OK*1(000400000730*1)
9/29 研磨OK*1(000400000381*1)
10/12 出1台(三廠-HA21070601-100000967-000400000381)
10/26 研磨OK*1(000400001103*1)
11/4 出1台(三廠-HA21051401-100001062-H08000776)
11/9 出1台(三廠-HA21083101-100000181-000400001103)
12/2 出1台(三廠-HA21061101-100001313-000400000381)
12/9 出1台(三廠-HA21061601-100001332-000400000381)
22/2/14 研磨OK*2(000400001037*1-#381)
2/16 研磨OK*1(000400000837)
3/8 出1台(三廠-HA21082701-100001334-000400000381)
4/7 出1台(三廠-HA21080201-100001686-000400000837)
4/25 出1台(三廠-HA21060401-100001741-H08000776)
5/3 出1台(三廠-HA21070201-100001743-000400000730)
5/13 出1台(三廠-HA21090301-100001453-000400001037)
5/9 研磨OK*1(000400002394)
5/17 出1台(三廠-HA22032601-100001454-000400002394)
5/24 研磨OK*2(000400000381*2)
6/9 研磨OK*1(000400002393)
6/15 研磨OK*1(000400001073)
7/20 出1台(三廠-HA21062801-100001820-000400000381)
8/5 研磨OK*2(000400002787*2)
001289:
10/20 出1台(三廠-HA22033001-100001958-000400002393)
guang:
10/26 出1台(三廠-HA21070501-100002000-000400000381)
001289:
10/26 研磨OK*1(000400003076*1)
11/14 出1台(三廠-HA22092701-100002093-000400003076)
11/28 研磨OK*1(000400000962*1)
12/8 研磨OK*1(000400003076*1)
23/1/30 出1台(三廠-HA22100301-100002156-000400003076)
12/8 研磨OK*1(000400000962*1)
23/3/24 出1台 (本廠-HA21081001-100002293-000400001073)
4/10 出1台(三廠-HA22072101-100002291-000400000962)
5/2 出1台(三廠-HA22061701-100002373-000400002787 )
5/18 出1台(三廠-HA22062201-100002275-000400002787 )
5/22 研磨OK*1(#2855*1，#3472*1)
7/31 研磨OK*1(#3556*1)
8/1 研磨OK*1(#3515*1)
8/24 出1台(三廠-HA23063001-100002544-000400003515)
9/5 研磨OK*1(#3617*1)
9/11 出1台(三廠-HA21082501-100002546-000400002855)
9/14 研磨OK*1(#3731*1)
10/2 出1台(三廠-HA23042101-100002565-000400003472)
10/27 出1台(三廠-HA23070601-100002562-000400003556)
12/6 出1台(三廠-HA23081401-100002632-000400003731)
24/4/15 研磨OK*1(#4225)
4/25 出1台(三廠-HA23080401-100002813-000400003617)
5/22 出1台(三廠-HA24022001-100002779-000400004225)
7/8 研磨OK*1(#4570)
7/12 出1台(本廠-HA24062501-100002872-000400004570)
8/2 研磨OK*1(#4815)
8/6 出1台(三廠-HA24072301-100002724-000400004815)
8/12 研磨OK*1(#4784)
9/3 研磨OK*1(#4864)
11/14 研磨OK*1(#4869)
11/19 出1台(三廠-HA24073001-100003043-000400004784)
guang:
12/3 研磨OK*1(#4953)
25/2/7 出1台(廠內展用-三廠-HA24082201-100003170-000400004864)
2/8 出1台(廠內展用-三廠-HA24082801-100003168-000400004869)
2/20 出1台(三廠-HA24092701-100003125-000400004953)
6/2 研磨OK*1(#5571)
6/5 出1台(三廠-HA25042301-100003321-000400005571)
6/10 研磨OK*1(#5571)
6/18 研磨OK*1(#5675)
7/10 研磨OK*1(#5675)
9/18 研磨OK*1(#5595)
9/19 出1台(三廠-HA25052201-100003401-000400005675)
       研磨OK*1(#5595)
</t>
      </text>
    </comment>
    <comment ref="C9" authorId="0" shapeId="0">
      <text>
        <t>guang:
4/7 入1台(YZ)
4/17 入1台(YZ)
4/25 入1台(YZ)
4/28 入1台(YZ)
5/24 入1台(YZ)
6/26 入1台(YZ)(NEW)
7/10 入1台(YZ)(NEW)
8/9 入1台(YZ)(NEW)
8/28 入1台(YZ)(NEW)
11/13 入1台(YZ)(NEW)
1/4 入2台(YZ)(NEW)
1/19 入1台(YZ)(NEW)
1/22 入1台(YZ)(NEW)
2/2 入2台(YZ)(NEW)
2/21 入3台(YZ)(NEW)
5/9 入1台(YZ)(NEW)
5/10 入1台(YZ)(NEW)
7/10 入1台(YZ)(NEW)
7/24 入1台(YZ)(NEW)
7/26 入1台(YZ)(NEW)
8/7 入1台(YZ)(NEW)
8/21 入1台(YZ)(NEW)
9/4 入1台(YZ)(NEW)
11/29 入1台(YZ)(NEW)
12/4 入1台(YZ)(NEW)
1/2 入1台(YZ)(NEW)
1/3 入1台(YZ)(NEW)
1/7 入1台(YZ)(NEW)
1/9 入1台(YZ)(NEW)
2/25 入2台(YZ)(NEW)
3/27 入1台(YZ)(NEW)
4/8 入1台(YZ)(NEW)
7/2 入2台(YZ)(NEW)
9/25 入1台(YZ)(NEW)
9/30 入1台(YZ)(NEW)
12/18 入1台(YZ)(NEW)
6/23 入2台(YZ)(NEW)
8/28 入1台(YZ)(NEW)
9/10 入1台(YZ)(NEW)
21/4/8 入1台(YZ)(NEW)
4/20 入1台(YZ)(NEW)
5/3 入1台(YZ)(NEW)
5/4 入1台(YZ)(NEW)
10/1 入1台(YZ)(NEW)
10/4 入1台(YZ)(NEW)
10/14 入1台(YZ)(NEW)
10/15 入1台(YZ)(NEW)
10/26 入1台(YZ)(NEW)
22/3/28 入1台(YZ-#2508)
4/1 入1台(YZ-#2548)
6/2 入1台(LD-#2766)
6/8 入1台(LD-#2766)
7/1 入1台(LD-#2899)
7/11 入1台(LD-#2925)
7/12 入1台(LD-#2925)
guang:
24/8/2 入1台(LD-#4882)
8/8 入1台(LD-#4882)
10/29 入1台(LD-#5099)
12/5 入1台(LD-#5173)
12/9 入1台(LD-#5236)
001289:
25/1/21 入1台(LD-#5392)
26/1/9 入1台(#5099)(補)</t>
      </text>
    </comment>
    <comment ref="E9" authorId="0" shapeId="0">
      <text>
        <t xml:space="preserve">guang:
4/11 M6*1 ok(17M)
4/22 M6*1 ok(17M)
5/17 M6*1 ok(17M)
5/18 M6*1 ok(17M)
6/16 M6*1 ok(17M)
7/4M6*1ok(17M)(new)
7/13M6*1ok(17M)(new
8/10 M6*1OK(17米) 
9/8 M6*1OK(17米)
11/22 M6*1OK(17米)
1/10 M6*1ok(17M)(new)
1/11 M6*1ok(17M)(new)
1/29 M6*1ok(17M)(new)
3/5 M6*1ok(17M)(new)
3/27 M6*1ok(17M)(new)
5/8 M6*1ok(17M)(new)
5/9 M6*1ok(17M)(new)
5/17 包砂太多(退)(YZ)
6/1 M6*1ok(17M)(new)
6/4 M6*1ok(17M)(new)
6/23 M6*1 OK(17M)
7/23 M6*1 OK(17M)
7/24 M6*1 OK(17M)
9/27 M6*1 OK(17M)
10/1 M6*1 OK(17M)
10/17 M6*1 OK(17M)
10/18 M6*1 OK(17M)
10/22 M6*1 OK(17M)
12/26 M6*1 OK(17M)
12/28 M6*1 OK(17M)
1/29 M6*1 OK(17M)
1/31 M6*1 OK(17M)
2/12 M6*1 OK(17M)
2/13 M6*1 OK(17M)
5/2 M6*1 OK(17M)
6/25 M6*2 OK(408-M6-2)
7/3 M6*1 OK(17M)
7/29 M6*1 OK(409-M6-1)
8/6 M6*1 OK(408-M6-2)
8/12 M6*1 OK(409-M6-1)
10/16 背面包砂(報廢)
11/1 出1台(報廢-永棧)
11/12 入1台(報廢-永棧)
11/13 M6*1 OK(409-M6-1)
11/15 M6*1 OK(409-M6-1)
11/15 M6*1 OK(523-M6-2)
11/18 M6*1 OK(523-M6-2)
11/19 M6*1 OK(523-M6-2)
12/31 M6*1 OK(17M)
7/2 M6*1 OK(17M)
7/6 M6*1 OK(17M)
9/22 M6*1 OK(17M)
9/29 M6*1 OK(17M)
21/4/15 M6*1 OK(17M)
4/28 M6*1 OK(17M)
5/13 M6*1 OK(17M-報廢)
5/17 M6*1 OK(17M)
6/2 出1台(YZ載回)
10/6 M6*1 OK(17M-732)
10/8 M6*1 OK(17M-732)
11/8 M6*1 OK(17M-1735)
11/10 M6*1 OK(17M-1794)
11/13 M6*1 OK(17M-1798)
22/4/13 M6*1 OK(17M-#2548)
4/23 M6*1 OK(17M-#2508)
6/13 M6*1 OK(17M-#2766)
6/16 M6*1 OK(17M-#2766)
7/15 M6*1 OK(17M-#2899)
7/19 M6*1 OK(17M-#2925)
7/21 M6*1 OK(17M-#2925)
24/8/5 M6*1 OK(17M-#4882)
8/12 M6*1 OK(17M-#4882)
11/6 M6*1 OK(17M-#5099)
25/1/6 M6*1 OK(17M-#5173)
2/10 M6*1 OK(17M-#5236)
5/17 M6*1 OK(17M-#5392)
</t>
      </text>
    </comment>
    <comment ref="F9" authorId="2" shapeId="0">
      <text>
        <t xml:space="preserve">ralf:
4/17 M5*1OK(410)
5/4 M5*1 OK(410)
5/24 M5*1 OK(410)
5/26 M5*1 OK(410)
6/23 M5*1 OK(410)
7/11 M5*1 OK(409)
7/20 M5*1 OK(409)
8/18 M5*1 OK(409)
9/26 M5*1 OK(409)
11/30 M5*1 OK(409)
1/12 M5*1 OK(409)
1/16 M5*1 OK(409)
2/9 M5*1 OK(409)
3/9 M5*1 OK(409)
4/3 M5*1 OK(409)
5/14 M5*1 OK(409)
6/6 M5*1 OK(409)
6/8 M5*1 OK(409)
7/5 M5*1 OK(409)
8/10 M5*1 OK(813)
8/13 M5*1 OK(813)
10/11 M5*1 OK(409)
10/15 M5*1 OK(409)
10/26 M5*1 OK(409)
10/30 M5*1 OK(813)
11/1 M5*1 OK(409)
1/7 M5*1 OK(409)
1/9 M5*1 OK(409)
2/13 M5*1 OK(410)
2/15 M5*1 OK(410)
3/14 M5*1 OK(410)
3/19 M5*1 OK(410)
5/21 M5*1 OK(410)
7/1 M5*1 OK(813)
7/5 M5*1 OK(813)
7/10 M5*1 OK(813)
9/30 M5*1 OK(410)
11/27 M5*1 OK(410)-#1856
12/4 M5*1 OK(410)
12/11 M5*1 OK(410)
1/16 M5*1 OK(410)
7/14 M5*1 OK(410)
7/21 M5*1 OK(410)
11/26 M5*1 OK(410)
12/10 M5*1 OK(410)
21/5/10 M5*1 OK(410-H08000786)
5/19 M5*1 OK(410-H08000785)
5/24 M5*1 OK(410-000400000649)
10/13 M5*1 OK(410-000400000732)
10/19 M5*1 OK(410-000400000732)
11/18 M5*1 OK(410-000400001794)
11/24 M5*1 OK(410-000400001798)
12/7 M5*1 OK(410-000400001735)
22/5/3 M5*1 OK(410-000400002548)
5/6 M5*1 OK(410-000400002508)
7/6 M5*1 OK(410-000400002766)
7/12 M5*1 OK(410-000400002766)
7/26 M5*1 OK(410-000400002925)
8/4 M5*1 OK(410-000400002899)
8/8 M5*1 OK(410-000400002925)
guang:
24/8/12 M5*1 OK(410-#4882)
8/16 M5*1 OK(410-#4882)
11/14 M5*1 OK(410-#5099)
25/1/15 M5*1 OK(410-#5173)
2/27 M5*1 OK(410-#5236)
6/27 M5*1 OK(410-#5392)
</t>
      </text>
    </comment>
    <comment ref="G9" authorId="0" shapeId="0">
      <text>
        <t xml:space="preserve">guang:
2/23 出1台
4/6  出1台(三廠)
ralf:
4/27 研磨OK*1(7018)
5/9 出1台
6/7 研磨OK*1(7018)
6/8 研磨OK*1(7018)
6/16  出1台
6/30  出1台
7/4  出1台
7/25  出1台
7/27  出1台
7/31 研磨OK*1
8/8  出1台
9/7研磨OK*1
9/25  出1台
10/26  出1台
12/6  研磨OK*1
12/6  出1台
1/19  出1台
3/23 出1台
3/27 研磨OK*1
4/24 出1台(三廠)
7/25 出1台(三廠)
8/8 出1台(三廠)
9/3 出1台(三廠)
9/13 出1台(三廠)-5BC
9/14 出1台(三廠)
10/22 研磨OK*1
10/22 出1台(三廠)
10/23 研磨OK*1
10/23 出1台(三廠)
11/8 研磨OK*1
11/21 研磨OK*1
11/29 研磨OK*1-5BC
12/12 出1台(三廠)
12/14 出1台 (6路)-5BC
12/20 出1台(三廠)
2/1 研磨OK*2-5BC
3/14 研磨OK*1
3/25 出1台(三廠-HA19010901-5BC)
4/12 出1台(三廠-HA19021301)
5/7 研磨OK*1
5/7 出1台(三廠-HA19021502)
5/17 研磨OK*1
6/5 出1台(三廠-HA19010702-5BC)
6/5 研磨OK*1
6/14 研磨OK*1-5BC
6/17 出1台(三廠-HA19052102-5BC)
6/25 出1台(三廠-HA19031402)
7/19 出1台(三廠-HA19031901)
7/22 研磨OK*1-5BC
7/27 研磨OK*1-5BC
8/28 研磨OK*1
9/11 出1台(三廠-HA19070501-5BC)
10/31 研磨OK*1
1/2 研磨OK*1
1/15 出1台(三廠-HA19071002)
1/30 出1台(三廠-HA19093001)
2/7 研磨OK*1
2/26 研磨OK*1
4/14 研磨OK*1
6/3 出1台(本廠-HA19120401-機號:28132)
8/4 出1台(本廠-HA20011601-機號:28228)
8/18 出1台(三廠-HA19121101-機號:27906)
9/4 研磨OK*1
9/10 研磨OK*1
12/4 出1台(三廠-HA20072101-機號:27811)
12/17 出1台(三廠-HA20071401-機號:27767)(預開)
21/1/8 出1台(三廠-HA20071401-機號:100000183)
2/2 研磨OK*1
2/3 研磨OK*1
2/17 出1台(三廠-HA20121101-機號:100000354)
3/11 出1台(三廠-HA20112601-機號:100000279-H08000786)
內含2台5BC專用
5/18 研磨OK*1
5/19 出1台(三廠-HA21051001-100000764-H08000786)
6/2 研磨OK*2-H08000785*1,000400000649*1
6/21 出1台(三廠-HA21051801-100000721-H08000785)
12/1 研磨OK*1(000400000732)
12/14 出1台(三廠-HA21101301-100001368-000400000732)
12/23 研磨OK*1(000400000732)
22/1/5 出1台(三廠-HA21052401-100001364-000400000649)客制化
1/7 出1台(三廠-HA21101901-100001369-000400000732)
1/13 研磨OK*1(000400001794)
1/27 出1台(三廠-HA21111801-100001173-000400001794)
2/17 研磨OK*1(000400001735)
2/21 出1台(三廠-HA21120701-100001541-000400001735)
3/2 研磨OK*1(000400001798)
3/31 出1台(三廠-HA19070101-100001159-000400001744-5BC)
5/25 出1台(三廠-HA21112401-100001790-000400001798)
6/7 研磨OK*1(000400002548)
6/13 出1台(三廠-HA22050301-100001760-000400002548)
6/9 研磨OK*1(000400002508)
7/13 出1台(三廠-HA22050601-100001902-000400002508)
7/29 研磨OK*2(000400002766*2)
9/1 研磨OK*1(000400002925)
9/19 研磨OK*1(000400002899)
guang:
23/1/3 出1台(三廠-HA22070601-100002195-000400002766)
2/17 出1台(三廠-HA19112701-100001952-000400001856-5BC)
guang:
3/27 出1台(三廠-HA22072601-100002319-000400002925)
5/19 研磨OK*1(000400002925)
5/30 出1台(三廠-HA22080801-100002408-000400002925)
10/11 出1台(三廠-HA22071201-100002308-000400002766-5BC)
10/24 出1台(三廠-HA22080301-100002577-000400002899)
8/20 研磨OK*1(000400004882)
8/21 出1台(三廠-HA24081201-100002747-000400004882)
9/2 研磨OK*1(000400004882)
9/2 出1台(三廠-HA24081601-100002919-000400004882)
12/26 研磨NG*1(000400005099)
25/2/21 研磨OK*1(000400005173)
3/28 研磨OK*1(000400005236)
8/14 出1台(三廠-HA25011501-100003378-000400005173)
8/8 研磨OK*1(000400005392)
10/22 出1台(3廠-HA25062701-100003418-000400005392)
</t>
      </text>
    </comment>
    <comment ref="H9" authorId="1" shapeId="0">
      <text>
        <t>hsinwei:
12/26 研磨NG*1(000400005099)(斜面上端裂痕品管判定報廢)
26/1/8 出1台(#5099)</t>
      </text>
    </comment>
    <comment ref="C10" authorId="0" shapeId="0">
      <text>
        <t xml:space="preserve">guang:
3/27 入2台(JS)
3/30 入2台(JS)
4/5 入2台(YZ)
4/11 入1台(JS)
4/17入2(JS)
4/19 入1(JS)
11/9 入1台(YZ)
11/29 入1台(YZ)(新)
12/7 入1台(YZ)(新)
01/02 入1台(YZ)(new)
01/02 入1台(js)(new)
01/04 入1台(js)(new)
1/8 入1台(JS)(NEW)
1/8 入1台(YZ)(NEW)
1/11 入1台(JS)(NEW)
1/15 入1台(YZ)(NEW)
1/29 入1台(YZ)(NEW)
2/2 入1台(JS)(NEW)
2/5 入1台(JS)(NEW)
2/13 入2台(JS)(NEW)
2/21 入1台(YZ)(NEW)
3/12 入1台(JS)(NEW)
3/19 入2台(JS)(NEW)
3/23 入1台(JS)(NEW)
ralf:
5/16廣場盤點有3隻
guang:
5/23 入1台(JS)(NEW)
6/1 入1台(JS)(NEW)
6/13 入1台(JS)(NEW)
6/26 入1台(JS)(NEW)
10/23 入1台(JS)(NEW)(換)
11/22 入1台(YZ)(NEW)
11/27 入1台(YZ)(NEW)
12/12 入1台(YZ)(NEW)
12/13 入1台(YZ)(NEW)
12/19 入2台(YZ)(NEW)
2/18 入1台(YZ)(NEW)
2/21 入1台(YZ)(NEW)
2/26 入1台(YZ)(NEW)
3/4 入1台(YZ)(NEW)
3/8 入1台(YZ)(NEW)
3/15 入1台(YZ)(NEW)
6/6 入1台(JS)(NEW)
6/11 入1台(JS)(NEW)
7/2 入1台(YZ)(NEW)
7/3 入1台(YZ)(NEW)
7/15 入1台(JS)(NEW)
7/22 入1台(JS)(NEW)
1/10 入1台(YZ)(NEW)
3/25 入1台(YZ)(NEW)
5/5 入1台(YZ)(NEW)
5/11 入1台(YZ)(NEW)
6/10 入1台(YZ)(NEW)
9/18 入1台(YZ)(NEW)
10/5 入1台(YZ)(NEW)
10/21 入1台(YZ)(NEW)
11/20 入1台(YZ)(NEW)
11/27 入1台(YZ)(NEW)
12/2 入1台(YZ)(NEW)
21/6/30 入1台(YZ)(NEW)
7/8 入1台(YZ)(NEW)
7/14 入1台(YZ)(NEW)
7/26 入1台(YZ)(NEW)
8/4 入1台(YZ)(NEW)
12/13 入1台(YZ-2041)
22/1/4 入1台(YZ-1384)
1/7 入1台(YZ-2120)
2/7 入1台(YZ-2250)
2/15 入1台(JS-2082)
2/18 入1台(YZ-#2305)
3/3 入1台(JS-#2082)
3/8 入1台(JS-#2082)
3/11 入1台(JS-#2082)
24/5/6 入1台(LD-#4595)
5/23 入1台(LD-#4595)
5/30 入1台(LD-#4671)
6/3 入1台(LD-#4671)
10/16 入1台(LD-#5054)
guang:
2025/1/2 入2台(LD-#5346)
2/11 入1台(LD-#4671)(補)
2/17 入1台(LD-#5404)
2/18 入1台(LD-#5471)
2/20 入2台(LD-#5478)
guang:
</t>
      </text>
    </comment>
    <comment ref="E10" authorId="0" shapeId="0">
      <text>
        <t xml:space="preserve">guang:
3/13 M6*1 OK(17M)
3/14 M6*1 OK(17M)
4/13 M6*1 OK(17M)
5/8  M6*2 OK(17M)
5/20  M6*1 OK(17M)
6/14  M6*1 OK(17M)
6/15  M6*1 OK(17M)
7/14  M6*1 OK(17M)
7/20  M6*1 OK(17M)
11/14  M6*1 OK(17M)
12/11  M6*1 OK(17M)
12/13  M6*1 OK(17M)
1/12  M6*1 OK(17M)
1/24  M6*1 OK(17M)
1/25  M6*1 OK(17M)
1/26  M6*1 OK(17M)
2/23 M6*1 OK(17M)
3/5 M6*1 OK(17M)
3/14 M6*1 OK(17M)
3/26 M6*1 OK(17M)
3/27 M6*1 OK(17M)
4/9 M6*1 OK(17M)
4/10 M6*1 OK(17M)
4/11 M6*1 OK(17M)
4/26 M6*1 OK(17M)
4/27 M6*1 OK(17M)
5/4 M6*1 OK(17M)
5/5 M6*1 OK(17M)
6/29 M6*1 OK(17M)
7/11 M6*1 OK(17M)
7/12 M6*1 OK(17M)
7/13 M6*1 NG(17M)(翻鑄不良)
7/14 M6*1 OK(17M)
guang:
7/16 出1台(JS)(翻鑄不良)
8/31 M6*1 OK(17M)
9/3 M6*1 OK(17M)
11/01 M6*1 OK(17M)
12/13 M6*1 OK(17M)
12/14 M6*1 OK(17M)
12/17 M6*1 OK(17M)
1/8 M6*1 OK(17M)
1/9 M6*1 OK(17M)
1/10 M6*1 OK(17M)
1/14 M6*1 OK(17M)
3/15 M6*1 OK(17M)
3/16 M6*1 OK(17M)
3/26 M6*1 OK(17M)
3/27 M6*1 OK(17M)
3/28 M6*1 OK(17M)
4/30 M6*1 OK(17M)
7/19 M6*1 OK(523 M6-1)
7/22 M6*1 OK(523 M6-1)
7/23 M6*1 OK(523 M6-1)
7/24 M6*1 OK(523 M6-1)
7/23 M6*1 OK(408 M6-2)
7/25 M6*1 OK(523 M6-1)
7/26 M6*1 OK(408 M6-2)
10/15 M6*1 OK(17M)
1/21 M6*1 OK(17M)
4/20 M6*1 OK(17M)
5/12 M6*1 OK(17M)
5/13 M6*1 OK(17M)
8/3 M6*1 OK(17M)
10/6 M6*1 OK(17M)
10/8 M6*1 OK(17M)
11/2 M6*1 OK(17M)
12/3 M6*1 OK(17M)
12/8 M6*1 OK(17M)
12/10 M6*1 OK(17M)
21/7/2 M6*1 OK(17M)
7/16 M6*1 OK(17M-1184)
7/19 M6*1 OK(17M-1239)
7/29 M6*1 OK(17M-1265)
8/6 M6*1 OK(17M-1330)
12/27 M6*1 OK(17M-2041)
22/1/11 M6*1 OK(17M-1384)
1/13 M6*1 OK(17M-2120)
2/22 M6*1 OK(17M-2250)
2/24 M6*1 OK(17M-2305)
2/26 M6*1 OK(17M-2082)
3/7 M6*1 OK(17M-2082)
3/22 M6*1 OK(17M-2082)
5/7 M6*1 OK(17M-2082)
24/5/15 M6*1 OK(17M-#4595)
5/30 M6*1 OK(17M-#4595)
6/18 M6*1 OK(17M-#4671)
10/22 M6*1 OK(17M-#5054)
25/1/9 M6*1 OK(17M-#5346)
1/13 M6*1 OK(17M-#5346)
2/24 M6*1 OK(17M-#4671)
2/26 M6*1 OK(17M-#5478)
7/4 M6*1 OK(17M-#5404)
7/9 M6*1 OK(17M-#5471)
</t>
      </text>
    </comment>
    <comment ref="F10" authorId="0" shapeId="0">
      <text>
        <t xml:space="preserve">guang:
4/6  M5*1 OK(410)
4/21  M5*1 OK(410)
5/10  M5*1 OK(410)
5/12  M5*1 OK(410)
6/8  M5*1 OK(410)
6/19  M5*1 OK(410)
6/21  M5*1 OK(410)
8/4  M5*1 OK(409)
8/8  M5*1 OK(409)
8/11  M5*1 OK(409)
11/20 M5*1 OK(409)
12/15 M5*1 OK(409)
12/19 M5*1 OK(409)
1/18 M5*1 OK(409)
1/31 M5*1 OK(410)
2/22 M5*1 OK(409)
2/24 M5*1 OK(409)
3/7 M5*1 OK(409)
3/15 M5*1 OK(409)
3/22 M5*1 OK(409)
3/29 M5*1 OK(409)
3/31 M5*1 OK(409)
4/18 M5*1 OK(409)
4/20 M5*1 OK(409)
5/4 M5*1 OK(409)
5/8 M5*1 OK(409)
5/10 M5*1 OK(409)
5/16 M5*1 OK(409)
5/18 M5*1 OK(409)
7/11 M5*1 OK(409)
7/19 M5*1 OK(409)
7/23 M5*1 OK(409)
7/25 M5*1 OK(409)
9/6 M5*1 OK(409)
9/10 M5*1 OK(409)
12/12 M5*1 OK(409)
12/25 M5*1 OK(409)
12/28 M5*1 OK(409)
1/4 M5*1 OK(409)
1/14 M5*1 OK(409)
1/16 M5*1 OK(409)
1/23 M5*1 OK(410)
1/26 M5*1 OK(410)
3/26 M5*1 OK(410)
4/9 M5*1 OK(410)
4/12 M5*1 OK(410)
4/16 M5*1 OK(410)
4/19 M5*1 OK(410)
5/17 M5*1 OK(410)
8/13 M5*1 OK(813)
8/21 M5*1 OK(813)
8/29 M5*1 OK(813)
10/22 M5*1 OK(410)
10/30 M5*1 OK(410)
11/6 M5*1 OK(410)
2/14 M5*1 OK(410)
5/15 M5*1 OK(410)
5/22 M5*1 OK(410)
5/28 M5*1 OK(410)
8/14 M5*1 OK(410)
10/28 M5*1 OK(410)
11/4 M5*1 OK(410)
11/19 M5*1 OK(410)
12/17 M5*1 OK(410)
12/24 M5*1 OK(410)
12/30 M5*1 OK(410)
21/7/9 M5*1 OK(410-H08000768)
7/23 M5*1 OK(410-000400001184)
7/29 M5*1 OK(410-000400001239)
8/6 M5*1 OK(410-000400001265)
8/13 M5*1 OK(410-000400001330)
22/1/10 M5*1 OK(410-000400002041)
1/19 M5*1 OK(410-000400001384)
1/25 M5*1 OK(410-000400002120)
3/4 M5*1 OK(410-000400002305)
3/9 M5*1 OK(410-000400002082)
3/14 M5*1 OK(410-000400002082)
3/17 M5*1 OK(410-000400002250)
4/7 M5*1 OK(410-000400002082)
5/19 M5*1 OK(410-000400002082)
24/5/27 M5*1 OK(410-000400004595)
6/12 M5*1 OK(410-000400004595)
7/3 M5*1 OK(410-000400004671)
10/29 M5*1 OK(410-000400005054)
25/2/8 M5*1 OK(410-000400005346)
2/14 M5*1 OK(410-000400005346)
3/10 M5*1 OK(410-000400005478)
3/18 M5*1 OK(410-000400004671)
7/10 M5*1 OK(410-000400005478)
7/16 M5*1 OK(410-000400005404)
7/24 M5*1 OK(410-000400005471)
</t>
      </text>
    </comment>
    <comment ref="G10" authorId="0" shapeId="0">
      <text>
        <t xml:space="preserve">guang:
4/24 出1台(三廠)
5/10 出1台(三廠)
5/11 出1台(三廠)
6/4 出1台(三廠)
6/12 出1台(三廠)
6/22 出1台 (三廠)
6/29 出1台 (三廠)
7/3 研磨OK*1(7018)
7/3 出1台 (三廠)
7/6 出1台 (三廠)
8/6 研磨OK*1(7018)
8/10 出1台 (三廠)
8/22 出1台 (三廠)
8/29 出1台 (三廠)
9/6 出1台 (三廠)
9/19 出1台 (三廠)
10/9 出1台 (三廠)
10/15 研磨OK*1
12/3 出1台 (三廠)
12/22 出1台 (三廠-HA18090601)
12/24 出1台 (三廠-HA18091001)
1/8 研磨OK*1
1/8 出1台 (三廠-HA18121201)
1/10 研磨OK*1
1/10 出1台 (三廠-HA18111901)
1/22 研磨OK*1
2/12 研磨OK*1
2/15 出1台 (三廠-HA18122501)
2/22 出1台 (三廠-HA19010402)
3/6 研磨OK*1
3/6 出1台 (三廠-HA19011401)
2/26 研磨OK*1
3/6 出1台 (三廠-HA19011602)
3/14 研磨OK*1
3/15 研磨OK*1
3/27 出1台 (三廠-HA19012501)
4/30 出1台 (三廠-HA19012301)
5/24 研磨OK*1
5/31 出1台 (三廠-HA19041201)
6/6 研磨OK*1
6/6 出1台 (三廠-HA19041602)
6/19 研磨OK*1
7/29 出1台 (三廠-HA19041902)
8/8 研磨OK*1
8/29 出1台 (三廠-HA19032602)
9/4 研磨OK*1
9/10 研磨OK*1
9/18 研磨OK*1
9/24 研磨OK*1
10/23 出1台 (三廠-HA19082901)
11/11 出1台 (三廠-HA19040901)
11/19 出1台 (三廠-HA19051701)
11/25 研磨OK*1
11/28 研磨OK*1
12/12 研磨OK*1
1/3 出1台 (三廠-HA19081201)
4/6 研磨OK*1
4/13 出1台 (三廠-HA19082101-28059)
4/17 出1台 (三廠-HA19110601-27007)
4/29 出1台 (三廠-HA20021401-28062)
4/23 研磨OK*1
6/10 研磨OK*1
7/7 出1台 (三廠-HA19103001-28131)
7/7 研磨OK*1
7/9 研磨OK*1
8/18 出1台 (三廠-HA19102201-27770)
8/28 出1台 (三廠-HA20052201-28262)
9/9 出1台 (三廠-HA20052801-27835)
11/5 出1台(三廠-HA20051501-機號:28335)
11/9 研磨OK*1
11/13 出1台(三廠-HA20081401-機號:28336)
12/2 研磨OK*1
12/3 出1台(三廠-HA20102901-機號:28291)
12/3 研磨OK*1
12/8 出1台(三廠-HA20110501-機號:27954)
12/21 研磨OK*1
21/1/13 出1台(三廠-HA20111901-機號:100000096)
1/21 研磨OK*1
2/20 研磨OK*1
3/8 研磨OK*1
3/16 出1台(三廠-HA20122401-機號:100000182)
4/21 出1台(三廠-HA20121701-機號:100000424)
7/14 出1台(三廠-HA20123001-100000554-H08000770)
7/30 研磨OK*1
8/2 出1台(三廠-HA21070901-100000468-H08000768)
8/23 研磨OK*1(000400001184)
8/31 研磨OK*1(000400001239)
9/28 出1台(三廠-HA21072301-100001130-000400001184)
9/24 研磨OK*1(000400001330)
10/12 出1台(三廠-HA21081301-100000892-000400001330)
10/14 出1台(三廠-HA21072801-100000816-000400001239)
10/15 研磨OK*1(000400001265)
22/4/19 研磨OK*2(000400002041，2082)
4/20 研磨OK*1(000400002120)
4/25 研磨OK*1(000400001384)
7/6 出1台(三廠-HA21080601-100001891-000400001265)
6/29 研磨OK*1(000400002082)
8/9 出1台(三廠-HA22051901-100001968-000400002082)-100001737取消物料賢已吊走已扣除
8/5 研磨OK*1(000400002082)-預計配#2493
001289:
12/5 研磨OK*1(000400002082)
guang:
23/1/9 研磨OK*1(000400002082)
3/13 出1台(三廠-HA22030901-100002356-000400002082)
3/24 研磨OK*1(000400002250)
6/7 出1台(三廠-HA22031401-100002437-000400002082)
guang:
6/29 出1台(三廠-HA22012501-100002458-000400002120)
7/20 出1台(三廠-HA22031701-100002411-000400002250)
8/15 出1台(三廠-HA22011901-100002617-000400001384)
8/15 研磨OK*1(000400002305)
24/1/4 出1台(本廠-HA22011001-100002041-000400002616)
4/2 出1台(三廠-HA22040701-100002493-000400002082)
guang:
4/11 出1台(三廠-HA22030401-100002829-000400002305)
6/7 研磨OK*1(000400004595)
6/11 出1台(三廠-HA24052701-100002761-000400004595)
guang:
6/20 研磨OK*1(000400004595)
6/24 出1台(放裝三000400004595)(已入帳)
guang:
8/2 研磨OK*1(000400004671)
11/4 出1台(放裝三000400004595)
guang:
11/11 出1台(三廠-HA24070301-100002948-000400004671)
12/9 研磨OK*1(000400005054)
12/16 出1台(三廠-HA24102901-100003035-000400005054)
25/3/5 研磨OK*1(000400005346)
3/20 研磨OK*1(000400005346)
4/15 研磨OK*1(000400004671)
4/21 研磨OK*1(000400005478)
5/19 出1台(三廠-HA25021401-100003290-000400005346)
8/7 研磨OK*1(000400005478)
hsinwei:
8/18 研磨OK*1(000400005471)
9/4 研磨OK*1(000400005404)
001280:  
</t>
      </text>
    </comment>
    <comment ref="J10" authorId="0" shapeId="0">
      <text>
        <t xml:space="preserve">guang:
 出1台(三廠-HA22040701-100002493-000400002082)
</t>
      </text>
    </comment>
    <comment ref="K10" authorId="2" shapeId="0">
      <text>
        <t xml:space="preserve">ralf:
2019/3/7入2支
guang:
3/15 出1支
guang:
6/17 NG*1(#4671-支撐機構破孔)
guang:
24/8/2 載走( LD-#4671)
</t>
      </text>
    </comment>
    <comment ref="L10" authorId="2" shapeId="0">
      <text>
        <t xml:space="preserve">ralf:
2019/3/7入2支
guang:
3/15 出1支
</t>
      </text>
    </comment>
    <comment ref="C11" authorId="0" shapeId="0">
      <text>
        <t>guang:
6/12 入1台(YZ)
6/15 入1台(YZ)(NEW)
6/16 入1台(YZ)(NEW)
9/18 入1台(YZ)(NEW)
9/28 入1台(YZ)(NEW)
10/23 入1台(YZ)(NEW)
10/30 入1台(YZ)(NEW)
12/21 入1台(YZ)(NEW)
4/16 入1台(YZ)(NEW)
4/17 入1台(YZ)(NEW)
5/8 入1台(YZ)(NEW)
6/7 入1台(YZ)(NEW)
6/12 入1台(YZ)(NEW)
6/14 入1台(YZ)(NEW)
7/26 入1台(YZ)(NEW)
8/3 入1台(YZ)(NEW)
8/29 入1台(YZ)(NEW)
12/12 入1台(YZ)(NEW)
1/2 入1台(YZ)(NEW)
1/3 入1台(YZ)(NEW)
1/7 入1台(YZ)(NEW)
2/14 入1台(YZ)(NEW)
2/15 入1台(YZ)(NEW)
3/26 入1台(YZ)(NEW)
3/28 入1台(YZ)(NEW)
9/3 入2台(YZ)(NEW)
12/2 入1台(YZ)(NEW)
1/13 包砂*1(退回處理-YZ)
1/15 入1台(處理完成-YZ)
3/11 入1台(YZ)(NEW)
3/26 入1台(YZ)(NEW)
6/4 入1台(YZ)(NEW)
6/29 入1台(YZ)(NEW)
7/1 入1台(YZ)(NEW)
7/6 入1台(YZ)(NEW)
11/8 入1台(YZ)(NEW)
11/15 入2台(YZ)(NEW)
12/7 入1台(YZ-#2010)
22/2/23 入1台(YZ-#2348)
3/10 入1台(YZ-#2408)
4/12 入1台(LD-#2348-換)
5/3 入1台(LD-#2669)
5/9 入1台(LD-#2614)
5/16 入1台(LD-#2756)
7/25 入1台(LD-#2973)
8/31 入1台(LD-#2756-換)
23/7/25 入1台(LD-#3722)
8/9 入1台(LD-#3758)
guang:
24/5/8 入1台(LD-#3758-換)
7/4 入1台(LD-#4778)
12/4 入1台(LD-#5214)
12/5 入1台(LD-#5264)
12/10 入1台(LD-#5264)
25/1/20 入1台(LD-#5393)
3/4 入1台(LD-#5510)
3/13 入1台(LD-#5525)
6/4 入1台(LD-#5783)
7/21 入1台(LD-#5864)
12/8 入1台(LD-#6089)
12/10 入2台(LD-#6090)
26/1/7 入1台(LD-#6141)</t>
      </text>
    </comment>
    <comment ref="E11" authorId="0" shapeId="0">
      <text>
        <t>guang:
7/24 M6*1 OK(17M)
7/25 M6*1 OK(17M)
7/26 M6*1 OK(17M)
10/3 M6*1 OK(17M)
10/27 M6*1 OK(17M)
10/31 M6*1 OK(17M)
11/9 M6*1 OK(17M)
5/18 M6*1 OK(17M)
5/19 M6*1 OK(17M)
5/22 M6*1 OK(17M)
7/2 M6*1 OK(17M)
7/4 M6*1 OK(17M)
8/16 M6*1 OK(17M)
8/17 M6*1 OK(17M)
8/20 M6*1 OK(17M)
9/4 M6*1 OK(17M)
10/2 M6*1 OK(17M)
10/4 M6*1 OK(17M)
10/25加工錯誤(M5-X偏10mm)
4/12 M6*1 OK(17M)
4/16 M6*1 OK(17M)
6/17 M6*2 OK(408-M6-2)
7/3 M6*3 OK(408-M6-2)
11/19 M6*1 OK(409-M6-1)
11/20 M6*1 OK(523-M6-2)
11/25 M6*1 OK(17M)
2/7 M6*1 OK(17M)
4/16 M6*1 OK(17M.408)
4/23 M6*1 OK(17M)
7/14 M6*1 OK(17M)
7/17 M6*1 OK(17M)
7/23 M6*1 OK(17M)
8/10 M6*1 OK(17M)
11/19 M6*1 OK(17M-1907)-NG
11/24 M6*1 OK(17M-1947)-NG
12/13 M6*1 OK(17M-2010)
12/21 M6*1 OK(17M-1947)
22/1/17 入(磨開入料)OK
5/16 M6*1 OK(17M-#2408)
6/22 M6*1 OK(17M-#2348-換)
8/5 M6*1 OK(17M-#2973)
8/16 M6*1 OK(17M-#2614)
8/30 M6*1 OK(17M-#2669)
001289:
11/29 M6*1 OK(17M-#2756)
23/8/15 M6*1 OK(17M-#3758)
guang:
24/1/16 M6*1 OK(17M-#3722)
5/22 M6*1 OK(17M-#3758-換)
7/11 M6*1 OK(17M-#4778)
12/6 M6*1 OK(17M-#5214)
12/11 M6*1 OK(17M-#5214)
12/13 M6*1 OK(17M-#5214)
25/2/6 M6*1 OK(17M-#5393)
3/13 M6*1 OK(17M-#5510)
5/13 M6*1 OK(17M-#5525)
6/20 M6*1 OK(17M-#5783)
7/24 M6*1 OK(17M-#5864)
12/11 M6*1 OK(17M-#6089)
12/18 M6*1 OK(17M-#6090)
12/23 M6*1 OK(17M-#6090)</t>
      </text>
    </comment>
    <comment ref="F11" authorId="2" shapeId="0">
      <text>
        <t>ralf:
支撐機構噴補X1待判 OK
8/15 M5*1 OK(409)
8/29 M5*1 OK(409)
8/31 M5*1 OK(409)
10/6 M5*1 OK(409)
11/3 M5*1 OK(409)
11/16 M5*1 OK(409)
1/10 M5*1 OK(409)
5/23 M5*1 OK(409)(5130L)
5/25 M5*1 OK(409)(5130L)
5/28 M5*1 OK(409)(5130L)
7/9 M5*1 OK(409)(5130L)
7/13 M5*1 OK(409)(5130L)
8/27 M5*1 OK(409)(5130L)
8/29 M5*1 OK(409)(5130L)
8/31 M5*1 OK(409)(5130L)
9/13 M5*1 OK(409)(5130L)
10/17 M5*1 OK(409)(5130L)
11/13 M5*1 OK(409)(5130L-線軌偏10mm)
4/25 M5*1 OK(409)(5130L)
5/2 M5*1 OK(409)(5130L)
7/16 M5*1 OK(813)(5130L)
7/18 M5*1 OK(410)(5130L)
7/19 M5*1 OK(813)(5130L)
7/24 M5*1 OK(410)(5130L)
guang:
8/1 M5*1 OK(410)(5130L)
12/3 M5*1 OK(410)(5130L)
12/12 M5*1 OK(410)(5130L)
3/3 M5*1 OK(410)(5130L)
4/28 M5*1 OK(410)(5130L)
5/6 M5*1 OK(410)(5130L)
8/21 M5*1 OK(410)(5130L)
8/28 M5*1 OK(410)(5130L)
9/4 M5*1 OK(410)(5130L)
9/10 M5*1 OK(410)(5130L)
12/13 M5*1 NG(410-砂孔)-#1907
12/15 M5*1 NG(410-砂孔)-#1947
12/16 載回1台(M5B270包砂-NG-#1907
22/1/14 載回1台(M5B270包砂-NG-#1947
2/7 M5*1 OK(410-#1947)(5130L)
2/12 M5*1 OK(410-#2010)(5130L)
3/23 M5*1 OK(410-#1947)(5130L)
5/24 M5*1 OK(410-#2408)(5130L)
8/12 M5*1 OK(410-#2348)(5130L)
8/17 M5*1 OK(410-#2973)(5130L)
9/12 M5*1 OK(410-#2614)(5130L)
10/18 M5*1 OK(410-#2669)(5130L)
001289:
12/8 M5*1 OK(410-#2756)(5130L)
guang:
24/3/26 M5*1 OK(410-#3722)(5130L)
6/4 M5*1 OK(410-#3758)(5130L)
7/17 M5*1 OK(410-#4778)(5130L)
12/16 M5*1 OK(410-#5214)(5130L)
12/23 M5*1 OK(410-#5264)(5130L)
12/31 M5*1 OK(410-#5264)(5130L)
25/2/21 M5*1 OK(410-#5393)(5130L)
3/27 M5*1 OK(410-#5510)(5130L)
6/20 M5*1 OK(410-#5525)(5130L)
7/4 M5*1 OK(410-#5783)(5130L)
8/14 M5*1 OK(410-#5864)(5130L)
12/18 M5*1 OK(410-#6089)(5130L)
12/26 M5*1 OK(410-#6090)(5130L)
26/1/5 M5*1 OK(410-#6090)(5130L)</t>
      </text>
    </comment>
    <comment ref="G11" authorId="0" shapeId="0">
      <text>
        <t>guang:
11/1 研磨OK*1
1/5 出1台(三廠)
1/11 出1台(三廠)
2/14 出1台(三廠)
2/22 出1台(三廠)
3/21 出1台(三廠)
4/27 出1台(三廠)
7/13 出1台(三廠)
7/17 出1台(三廠)
8/15 出1台(三廠)
8/17 出1台(三廠)
9/10 出1台(三廠)
102  研*1 OK
11/01 出1台(三廠)
11/15 研磨OK*1
11/20 研磨OK*1(光學尺)
11/20 出1台(三廠)(光學尺)
3/14 出1台(三廠-HA18070901)
3/18 研磨OK*1
3/18 出1台(三廠-HA18101702)
3/20 出1台(三廠-HA18082801)
4/19 出1台(三廠-HA18111301)
4/17 研磨OK*1
4/23 出1台(三廠-HA18011002-5BC)
5/10 研磨OK*1
6/28 出1台(三廠-HA18091201)
7/9 研磨OK*1
7/10 出1台(三廠-HA19050201)
7/17 研磨OK*1
7/31 出1台(三廠-HA19042401)
7/16 研磨OK*1(退磨-已開單)
8/20 研磨OK*1
8/20 出1台(三廠-HA19071802)
8/22 研磨OK*1
8/26 研磨OK*1
8/27 研磨OK*1
9/9 出1台(三廠-HA19071801)
9/30 出1台(三廠-HA19072401)
10/22 研磨OK*1
2/3 出1台(三廠-HA19080101)
2/11 出1台(三廠-HA19071901)
2/14 研磨OK*1
2/14 出1台(三廠-HA19120301)
2/25 研磨OK*1
3/13 出1台(三廠-HA15031301-退磨-已開單)
3/20 出1台(三廠-HA19121201)
4/9 研磨OK*1
6/3 研磨OK*1
8/11 研磨OK*1
10/27 研磨OK*2
10/29 研磨OK*1
21/5/24 出1台(三廠-HA20090401-100000645)
6/2 出1台(三廠-HA20050601-100000712)
7/28 出1台(三廠-HA20042801-100000742)
9/6 出1台(三廠-HA20082801-100000587)
10/12 出1台(三廠-HA20091001-100000817-000400001776)
12/8 研磨OK*1
22/1/22 出1台(三廠-HA20082101-100001255-000400001776)
2/8 出1台(三廠-HA20030301-100000955-000400001776)
3/15 研磨OK*2(#1947,#2010)
5/13 研磨OK*1(#1947)
6/29 研磨OK*1(#2408)
7/15 出1台(三廠-HA22021201-100001931-000400002010)
10/31 出1台(三廠-HA22032301-100001823-000400001947)
001289:
11/10 研磨OK*1(#2614)
guang:
12/5 出1台(三廠-HA22091201-100002145-000400002614)
23/2/20 出1台(三廠-HA22020701-100002221-000400001947)
3/21 出1台(三廠-HA22052401-100002220-000400002408)
4/11 研磨OK*1(#2348)
4/14 出1台(三廠-HA23041101-100002302-000400002348)
5/8 研磨OK*1(#2669)
5/10 研磨OK*1(#2973)
5/15 研磨OK*1(#2756)
5/18 出1台(三廠-HA22101801-100002297-000400002669)
6/8 出1台(三廠-HA22081701-100002254-000400002973)
9/25 出1台(三廠-HA22120801-100002465-000400002756)
24/5/8 研磨OK*1(#3722)
5/29 出1台(三廠-HA24032601-100002804-000400003722)
6/14 研磨OK*1(#3758)
6/17 出1台(三廠-HA24060401-100002805-000400003758)
7/23 研磨OK*1(#4778)
7/23 出1台(三廠-HA24071701-100002834-000400004778)
25/1/2 研磨OK*1(#5214)
1/6 出1台(三廠-HA24121401-100003051-000400005214)
1/13 研磨OK*1(#5264)
1/24 出1台(三廠-HA24122301-100003089-000400005264)
2/6 研磨OK*1(#5264)
3/24 出1台(三廠-HA24123101-100003185-000400005264)
3/31 研磨OK*1(#5393)
guang:
4/18 出1台(三廠-HA25022101-100003186-000400005393)(轉去100003320-HSA627EAY使用)
5/8 研磨OK*1(#5510)
6/16 出1台(三廠-HA25032701-100003310-000400005510)
7/4 研磨OK*1(#5525)
8/12 研磨OK*1(#5783)
hsinwei:
9/4出1台(三廠-HA25070401-100003314-000400005783)
001280
9/9 研磨OK*1(#5864)
11/20 出1台(三廠-HA25062001-100003370-000400005525)
12/2 出1台(三廠-HA25081301-100003407-000400005864)
12/29 研磨OK*1(#6089)
26/1/5 出1台(三廠-HA25121801-100003410-000400006089)
1/8 研磨OK*1(#6090)
1/9 出1台(三廠-HA25122601-100003446-000400006090)</t>
      </text>
    </comment>
    <comment ref="K11" authorId="0" shapeId="0">
      <text>
        <t xml:space="preserve">guang:
22/3/2 M6*1 NG(#2348-M6包砂)
3/28 出1台( LD載走-#2348)
5/27 M6*1 NG(#2756-M6包砂)
6/7 出1台( LD載走-#2756)
guang:
23/8/10 M6*1 NG(#3722-M6包砂-救援成功)
10/2 M5*1 NG(#3758-結合面孔內包砂)
guang:
24/5/6 出1台( LD載走-#3758)
</t>
      </text>
    </comment>
    <comment ref="C12" authorId="2" shapeId="0">
      <text>
        <t xml:space="preserve">ralf:
11/29 楊鋼入1
9/27 楊鋼入1
10/23 入1PS(YK)
5/21 入1台(YK)(NEW)
6/15 入1台(YK)(NEW)
1/8 入1台(YK)(NEW)
1/30 入1台(YK)(NEW)
1/31 入1台(YK)(NEW)
2/22 入1台(YK)(NEW)
10/29 入1台(YK)(NEW)
11/16 入1台(YK)(NEW)
21/4/28 入2台(YK)(NEW)
6/17 入2台(YK)(NEW)
7/14 入1台(YK)(NEW)
11/3 入1台(YK-1064)(補件)
22/2/18 入1台(YK-718)(補件)
</t>
      </text>
    </comment>
    <comment ref="E12" authorId="0" shapeId="0">
      <text>
        <t xml:space="preserve">guang:
6/1 M6*1 OK(17M)
10/17 M6*1 OK(17M)
11/10 M6*1 OK(17M)
10/24 M6*1 OK(17M)
10/25 M6*1 OK(17M)
1/24 M6*1 OK(17M)
2/19 M6*1 OK(17M)
2/20 M6*1 OK(17M)
11/6 M6*1 OK(17M)
11/4 M6*1 OK(17M)
11/20 M6*1 OK(17M)
21/5/19 M6*1 OK(17M)
5/21 M6*1 OK(17M)
7/21 M6*1 OK(17M-718)
7/28 M6*1 OK(17M-1064)-砂孔報廢*1
8/30 出1台( YK-載回-砂孔-1064)
12/30 M6*1 OK(17M-#1064)
22/6/9 M6*1 OK(17M-#718-補件)
</t>
      </text>
    </comment>
    <comment ref="F12" authorId="0" shapeId="0">
      <text>
        <t xml:space="preserve">guang:
6/6 M5*1 OK(410)
10/26 M5*1 OK(410)
1/4 M5*1 OK(409)
11/8 M5*1 OK(409)
12/07 M5*1 OK(409)
1/31 M5*1 OK(410)
2/26 M5*1 OK(410)
3/5 M5*1 OK(410)
11/19 M5*1 OK(410)
11/13 M5*1 OK(410)
12/4 M5*1 OK(410)
21/5/27 M5*1 OK(410-H08000801)
6/1 M5*1 OK(410-H08000801)
10/7 M5*1 OK(410-000400001064)
9/24 出1台( YK-載回-結合面包砂-718)
22/1/14 M5*1 OK(410-000400001064)
10/11 M5*1 OK(410-000400000718)
</t>
      </text>
    </comment>
    <comment ref="G12" authorId="0" shapeId="0">
      <text>
        <t xml:space="preserve">guang:
1/4出1PS
1/19出1PSralf:
6/23 研磨OK*1(7018)
7/21 出1台
3/29 出1台(3廠)
12/6 研磨OK*1
12/22 出1台(3廠-HA18010402)
1/2 出1台(3廠-HA17102602)
1/3 研磨OK*1
1/17 出2台(3廠-HA18110801,18120701)
1/3 研磨OK*1
2/23 出1台(3廠-HA19013101)
3/18 研磨OK*1
3/20 研磨OK*1
4/10 出1台(3廠-HA19030501)
11/29 出1台(3廠-HA1902601)
1/15 研磨OK*1
8/13 出1台(3廠-HA19111901-機號:28232)
11/30 研磨OK*1
12/1 出1台(3廠-HA20111301-機號:28328)
2021/1/4 研磨OK*1
1/4 出1台(3廠-HA20120401-機號:28339)
6/16 研磨OK*1(H08000801)
7/26 研磨OK*1(H08000801)
22/5/11 研磨OK*1(000400001064)
6/8 出1台(3廠-HA21060101-100001744-H08000801)
23/4/14 研磨OK*1(000400000718)
7/7 出1台(3廠-HA21052701-100002466-H08000801)
22/1/18 研磨OK*1(000400001064)
25/4/18 出1台(3廠-HA22101101-100003172-000400000718)
</t>
      </text>
    </comment>
    <comment ref="C13" authorId="0" shapeId="0">
      <text>
        <t xml:space="preserve">guang:
11/13 入2台(加政轉)(OLD)
3/20 入1台(YK)(OLD)
3/22 入1台(YK)(OLD)
3/26 入1台(YK)(OLD)
3/30 入1台(YK)(OLD)
4/10 入1台(YK)(OLD)
guang:
4/11 出2台(轉加政加工                   5/2 入1台(YK)(OLD)
6/15 入1台(YK)(OLD)
guang:
24/9/11 入1台(YK-#4975)
入錯料-9/23 加工發現
9/24 出1台(YK-#4975-送錯機型)
10/22 入1台(YK-#4975)-換
guang:
</t>
      </text>
    </comment>
    <comment ref="E13" authorId="0" shapeId="0">
      <text>
        <t xml:space="preserve">guang:
11/15 M6*1 OK(17M)
11/17 M6*1 OK(17M)
5/24 M6*1 OK(17M)
6/25 M6*1 OK(17M)
7/5 M6*1 OK(17M)
10/26 M6*1 OK(17M)
10/31 M6*1 OK(17M)
guang:
24/10/25 M6*1 OK(17M-#4975)
</t>
      </text>
    </comment>
    <comment ref="F13" authorId="0" shapeId="0">
      <text>
        <t xml:space="preserve">guang:
11/24 M5*1 OK(409)
1/8 M5*1 OK(409)
5/31 M5*1 OK(409)-H08000803
7/3 M5*1 OK(409)-H08000803
7/17 M5*1 OK(409)-H08000803
11/7 M5*1 OK(813)
12/19 M5*1 OK(409)
guang:
24/11/28 M5*1 OK(410-#4975-OLD版)
</t>
      </text>
    </comment>
    <comment ref="G13" authorId="0" shapeId="0">
      <text>
        <t>guang:
1/30 出1台(三廠)
3/31 出1台(三廠)
6/21 出1台(三廠)
10/19 研*1 OK-H08000803
5/7 研*1 OK-H08000803
9/2 研*1 OK-H08000803
21/5/13 出1台(三廠-HA18121901-100000590)
23/8/7 出1台(三廠-HA18110701-100002490)
9/14 出1台(三廠-HA18053101-H08000803-100002503)
guang:
24/7/11  出1台(三廠-HA18070301-100002841-#4764)(H08000803)
11/4  出1台(三廠-HA18071702-100002929-#5108)(H08000803)
25/5/28 研*1 OK-(000400004975)
11/4  出1台(三廠-HA24112701-100003360-#4975)</t>
      </text>
    </comment>
    <comment ref="C14" authorId="0" shapeId="0">
      <text>
        <t xml:space="preserve">guang:
3/10 入1台(YZ)(特殊6550L)
3/13 入1台(YZ)
4/13 永棧入1
4/28 入1台(YZ)
7/14 入1台(YZ)(NEW)
8/17 入1台(YZ)(NEW)
guang:
8/28 入1台(YZ)(NEW)
9/4 入1台(YZ)(NEW)
11/20 入1台(YZ)(特殊6550L)(NEW)
11/24 入1台(YZ)(NEW)
12/5入1台(YZ)(NEW)
12/18入1台(YZ)(NEW)
12/19入1台(YZ)(NEW)
1/18入1台(YZ)(NEW)
1/23入1台(YZ)(NEW)
1/31入1台(YZ)(NEW)
3/20 入1台(YZ)(NEW)
4/2 出2台(轉隆升加工)
4/9 出3台(轉隆升加工)
guang:
22/6/20 入1台(LD-#2873)
7/1 入1台(LD-#2873)
8/19 入1台(LD-#3064)(2)
9/2 入1台(LD-#3064)
25/9/1 入1台(LD-#5951)
</t>
      </text>
    </comment>
    <comment ref="E14" authorId="0" shapeId="0">
      <text>
        <t xml:space="preserve">guang:
3/22 M6*1 OK(特殊6550L)
4/14 M6*1OK (17m)
5/19 M6*1OK (17m)
7/18 M6*1OK (17m)
8/22 M6*1OK (17m)
9/6 M6*1OK(17M)
9/12 M6*1OK(17M)
12/7 M6*1 OK(17M)
12/9 M6*1 OK(17M)
3/30 M6*1 OK(17M)
22/6/25 M6*1 OK(17M-#2873)
7/12 M6*1 OK(17M-#2873)
8/26 M6*1 OK(17M-#3064)
9/12 M6*1 OK(17M-#3064)
25/9/5 M6*1 OK(17M-#5951)
</t>
      </text>
    </comment>
    <comment ref="F14" authorId="0" shapeId="0">
      <text>
        <t xml:space="preserve">guang:
3/30 M5*1 OK(特殊6550L)
4/25 M5*1 OK(410)
6/1 M5*1 OK(410)
7/24 M5*1 OK(409)
7/25 M5*1 OK(409)
9/16 M5*1 OK(409)
9/20 M5*1 OK(409)
12/12 M5*1 OK(409)
12/15 M5*1 OK(813)
4/13 M5*1 OK(409)
22/7/1 M5*1 OK(410-#2873)
7/18 M5*1 OK(410-#2873)
9/2 M5*1 OK(410-#3064)
9/22 M5*1 OK(410-#3064)
25/9/18 M5*1 OK(410-#5951)
</t>
      </text>
    </comment>
    <comment ref="G14" authorId="0" shapeId="0">
      <text>
        <t xml:space="preserve">guang:
3/7出1台ralf:
5/9 研磨*1 OK(6550L)特殊
5/23 研磨OK*1(7018)
5/25 出1台
ralf:
6/5 研磨OK*1(7018)
guang:
6/5 出1台
ralf:
7/14 研磨OK*1
8/16 研磨OK*1
8/17 出1台
9/1 出1台
9/7 出1台
ralf:
10/3 研磨OK*1
guang:
10/11 出1台
10/20 出1台
12/19 出1台
5/16 出1台(三廠)
guang:
11/20 出1台(三廠-CL18053001-機號:27309)
guang:
21/11/25 出1台(隆升加工-000400000917
22/1/22 出1台(隆升加工-100001093
4/7 出1台(隆升加工-100001545)
hsin:
6/13 出1台(三廠機號:100001735)
guang:
22/712 研磨*1(000400002873)
7/14 出1台(三廠-HA22070101-100001755-000400002873)
9/5 研磨*1(000400002873)
9/5 出1台(三廠-HA22071801-100001903-000400002873)
10/6 研磨*1(000400003064)
guang:
23/4/13 研磨*1(000400003064)
12/11 出1台(三廠-HA22090201-100002358-000400003064)
24/3/20 出1台(三廠-HA22092201-100002688-000400003064)
hsinwei:
25/10/8 研磨*1(000400005951)
10/8 出1台(三廠-HA25091801-100003325-000400005951)
</t>
      </text>
    </comment>
    <comment ref="C15" authorId="0" shapeId="0">
      <text>
        <t xml:space="preserve">guang:
4/16 入1台(YZ)(NEW)
5/11 入1台(YZ)(NEW)
6/11 入1台(YZ)(NEW)
8/1 入1台(JS)(NEW)
8/9 入2台(JS)(NEW)
8/17 入1台(YZ)(NEW)
8/23 入1台(JS)(NEW)
10/16 入1台(JS)(NEW)
10/22 入1台(JS)(NEW)
8/21 入1台(YZ)(NEW)
8/24 入1台(YZ)(NEW)
11/6 入1台(YZ)(NEW)
11/13 入1台(YZ)(NEW)
21/7/12 入1台(JS)(NEW)
7/19 入1台(JS)(NEW)
</t>
      </text>
    </comment>
    <comment ref="E15" authorId="0" shapeId="0">
      <text>
        <t xml:space="preserve">guang:
8/14 M6*1 OK(17M)
11/21M6*1 OK(17M)
6/7 M6*1 OK(17M)
6/8 M6*1 OK(17M)
7/17 M6*1 OK(17M)
9/11 M6*1 OK(17M)
9/12 M6*1 OK(17M)
9/13 M6*1 OK(17M)
10/22 M6*1 OK(17M)
10/24 M6*1 OK(17M)
11/27 M6*1 OK(17M)
12/3 M6*1 OK(17M)
12/5 M6*1 OK(17M)
8/27 M6*1 OK(17M)(標準機用)
10/15 M6*1 OK(17M)
12/31 M6*1 OK(17M)
21/1/5 M6*1 OK(17M)
9/3 M6*1 OK(17M-464)
9/7 M6*1 OK(17M-464)
</t>
      </text>
    </comment>
    <comment ref="F15" authorId="0" shapeId="0">
      <text>
        <t xml:space="preserve">guang:
4/27 M5*1 OK(410)
10/18 M5*1 OK(410)
5/2 M5*1 OK(410)
6/12 M5*1 OK(409)
6/14 M5*1 OK(409)
ralf:
7/2 1支背部砂孔報廢
guang:
7/5 出1台(裂痕-報廢)
7/28 M5*1 OK(409)
9/15 M5*1 OK(409)
9/19 M5*1 OK(409)
9/21 M5*1 OK(409)
11/8 M5*1 OK(813)
11/19 M5*1 OK(813)
12/19 M5*1 OK(813)
12/27 M5*1 OK(813)
2/6 M5*1 OK(813)
10/15 M5*1 OK(813)
10/23 M5*1 OK(813)(配EA/EAY)
21/1/27 M5*1 OK(410)
2/4 M5*1 OK(410)
10/22 M5*1 OK(410-000400000464-JS)
10/29 M5*1 OK(410-000400000464-JS)
</t>
      </text>
    </comment>
    <comment ref="G15" authorId="2" shapeId="0">
      <text>
        <t xml:space="preserve">ralf:
6/9 研磨OK*1(7018)
11/2 出1台(3廠)
5/2 出1台(3廠)
5/7 出1台(3廠)
7/17 出1台(3廠)
7/25 出1台(3廠)
10/26 研磨OK*1
11/19 研磨OK*1
2/21 出1台(3廠-HA18092102)
4/1 出1台(3廠-HA18072801)
9/16 出1台(3廠-HA18091501)
10/2 研磨OK*1
10/3 出1台(3廠-HA18091902)
12/27 研磨OK*1
2/15 研磨OK*1
2/18 研磨OK*1
10/3 出1台(3廠-HA19110801-台鐵用-27930)
4/21 研磨OK*1
5/6 出1台(3廠-HA19121901-28076)
5/8 出1台(3廠-HA20020601-26808)
5/12 研磨OK*1(標準機用)
7/21 出1台(3廠-HA19122701-28190)
21/1/28 研磨OK*1
2/24 出1台(3廠-HA19111901-100000018)
6/4 研磨OK*1
6/8 研磨OK*1
22/7/11 研磨OK*1(000400000464)
10/6 研磨OK*1(000400000464)
23/11/28 出1台(3廠-HA21102201-100002515-000400000464)
24/1/25 研磨OK*1(無編號)
</t>
      </text>
    </comment>
    <comment ref="C16" authorId="3" shapeId="0">
      <text>
        <t xml:space="preserve">001289:
11/1 入2台(SY-#3124)
guang:
24/2/29 入1台(SY-#4359)
</t>
      </text>
    </comment>
    <comment ref="E16" authorId="3" shapeId="0">
      <text>
        <t xml:space="preserve">001289:
11/11 M6*1 OK(409)
11/15 M6*1 OK(409)
guang:
24/3/6 M6*1 OK(410-#4359)
24/3/9 M6*1 OK(410-#4359)
</t>
      </text>
    </comment>
    <comment ref="F16" authorId="3" shapeId="0">
      <text>
        <t xml:space="preserve">001289:
11/21 M5*1 OK(410-#3124)
11/23 M5*1 OK(410-#3124)
guang:
23/5/24 出*2台(元榮研-#3124)
24/3/13 M5*1 OK(410-#4359)
3/21 出1台(元榮-HA24031301-100002726-#4359)
</t>
      </text>
    </comment>
    <comment ref="C17" authorId="0" shapeId="0">
      <text>
        <t xml:space="preserve">guang:
23/11/6 入1台(YJF-#4023)
guang:
</t>
      </text>
    </comment>
    <comment ref="D17" authorId="0" shapeId="0">
      <text>
        <t xml:space="preserve">guang:
23/11/8 M7*1 OK(813-#4023)
</t>
      </text>
    </comment>
    <comment ref="E17" authorId="0" shapeId="0">
      <text>
        <t xml:space="preserve">guang:
23/11/13 M6*1 OK(813-#4023)
</t>
      </text>
    </comment>
    <comment ref="F17" authorId="0" shapeId="0">
      <text>
        <t xml:space="preserve">guang:
23/11/27 M5*1 OK(410-#4023)
11/28 出*1台(台典研-100002659#4023)
guang:
</t>
      </text>
    </comment>
    <comment ref="C18" authorId="0" shapeId="0">
      <text>
        <t xml:space="preserve">guang:
23/12/4 入1台(LD-#4092)
</t>
      </text>
    </comment>
    <comment ref="D18" authorId="0" shapeId="0">
      <text>
        <t xml:space="preserve">guang:
23/12/12 M7*1 OK(813-#4092)
</t>
      </text>
    </comment>
    <comment ref="E18" authorId="0" shapeId="0">
      <text>
        <t xml:space="preserve">guang:
23/12/14 M6*1 OK(813-#4092)
</t>
      </text>
    </comment>
    <comment ref="F18" authorId="0" shapeId="0">
      <text>
        <t xml:space="preserve">guang:
23/12/26 M5*1 OK(410-#4092)
12/27 出1台(台典研-#4092)
</t>
      </text>
    </comment>
  </commentList>
</comments>
</file>

<file path=xl/comments/comment5.xml><?xml version="1.0" encoding="utf-8"?>
<comments xmlns="http://schemas.openxmlformats.org/spreadsheetml/2006/main">
  <authors>
    <author>hsinwei</author>
    <author>guang</author>
  </authors>
  <commentList>
    <comment ref="C2" authorId="0" shapeId="0">
      <text>
        <t>hsinwei:
25/07/30入2台((SY-#5896)
hsinwei:
hsinwei:
09/04入1台(SY-#5941)
12/8入5台(SY-#6054)
12/15入3台(SY-#6054)</t>
      </text>
    </comment>
    <comment ref="D2" authorId="0" shapeId="0">
      <text>
        <t xml:space="preserve">hsinwei:
8/21 M1*1 OK(3260-#5896)
8/25 M1*1 OK(3260-#5896)
9/8 M1*1 OK(3260-#5941)
9/25 M2*1 OK(410-#5896)
9/30 M2*1 OK(410-#5896)
10/2 M2*1 OK(410-#5941)
</t>
      </text>
    </comment>
    <comment ref="E2" authorId="0" shapeId="0">
      <text>
        <t xml:space="preserve">hsinwei:
10/1 M7*1 OK(813-#5896)
10/2 M7*1 OK(813-#5896)
10/2 M7*1 OK(813-#5941)
10/13 出研*1 (#5941)
10/16 出研*2 (#5896)
</t>
      </text>
    </comment>
    <comment ref="F2" authorId="1" shapeId="0">
      <text>
        <t>guang:
25/10/23 研*2台(#5896)
12/17 出2台(#5896)
26/1/9 研磨OK1台-#5941</t>
      </text>
    </comment>
    <comment ref="C3" authorId="1" shapeId="0">
      <text>
        <t>guang:
23/2/14 入5台(LD-#3384)
3/13 入2台(LD-#3430)
9/6 入2台(LD-#3822)
9/20 入4台(LD-#3874)
guang:
24/3/27 入2台(LD-#4436)</t>
      </text>
    </comment>
    <comment ref="D3" authorId="1" shapeId="0">
      <text>
        <t xml:space="preserve">guang:
23/3/8 M1*1 OK(410-#3384)
3/10 M1*1 OK(410-#3384)
3/13 M1*1 OK(410-#3384)
3/15 M1*1 OK(410-#3384)
3/16 M1*1 OK(410-#3384)
3/20 M1*1 OK(410-#3430)
3/22 M1*1 OK(410-#3430)
guang:
3/26 M2*5 OK(410-#3384)
9/19 M1*1 OK(410-#3822)
9/21 M1*1 OK(410-#3822)
9/22 M1*1 OK(410-#3874)
9/25 M1*1 OK(410-#3874)
9/27 M1*1 OK(410-#3874)
9/25 M2*1 OK(409-#3822)
9/27 M2*1 OK(409-#3822)
9/28 M2*1 OK(409-#3874)
guang:
24/5/10 M1*1 OK(410-#4436)
5/14 M1*1 OK(410-#4436)
5/30 M2*1 OK(409-#4436)
6/11 M2*1 OK(409-#4436)
</t>
      </text>
    </comment>
    <comment ref="E3" authorId="1" shapeId="0">
      <text>
        <t xml:space="preserve">guang:
3/28 M7*2 OK(648-#3384)
3/30 M7*5 OK(648-#3384)
3/30 M7*2 OK(648-#3430)
guang:
3/31 出7台(元榮研磨-#3384*5，#3430*2)
9/27 M7*2 OK(648-#3822)
10/2 出2台(出研磨-#3822)
10/2 M7*2 OK(648-#3874)
10/4 M7*2 OK(648-#3874)
10/4 出4台(出研磨-#3874)
guang:
24/6/5 M7*1 OK(648-#4436)
6/13 M7*1 OK(648-#4436)
6/14 出2台(出研磨-#4436)
</t>
      </text>
    </comment>
    <comment ref="C5" authorId="0" shapeId="0">
      <text>
        <t>hsinwei:
25/08/19入3台(SY-#5891)
12/15 入2台(SY-#6064)</t>
      </text>
    </comment>
    <comment ref="D5" authorId="0" shapeId="0">
      <text>
        <t xml:space="preserve">hsinwei:
8/27-29 M1*3 OK(3260-#5891)
</t>
      </text>
    </comment>
    <comment ref="E5" authorId="1" shapeId="0">
      <text>
        <t xml:space="preserve">guang:
25/9/3 M3*1(8223-#5842)
9/4 M3*1(8223-#5842)
10/28 M3*1(8223-#5982)
11/5 M3*1(8223-#5982)
</t>
      </text>
    </comment>
    <comment ref="C8" authorId="0" shapeId="0">
      <text>
        <t xml:space="preserve">hsinwei:
25/09/01入2台(LD-#5950)
</t>
      </text>
    </comment>
    <comment ref="D8" authorId="1" shapeId="0">
      <text>
        <t xml:space="preserve">guang:
9/23 M1*2(#5950-DBC-2)
12/15 M2*2(813-#5950)
</t>
      </text>
    </comment>
    <comment ref="E8" authorId="1" shapeId="0">
      <text>
        <t>guang:
12/11 M7*1(410-#5950)
12/16 M7*1(813-#5950)
12/15 出研磨*1(#5950)</t>
      </text>
    </comment>
    <comment ref="F8" authorId="1" shapeId="0">
      <text>
        <t>guang:
25/12/16 研*1OK-#5950
12/17 出1台-#5950
26/1/5 研磨OK-#5950</t>
      </text>
    </comment>
    <comment ref="C9" authorId="1" shapeId="0">
      <text>
        <t xml:space="preserve">guang:
23/4/6 入1台(LD-#3459)
5/31 入2台(LD-#3592)
7/17 入1台(LD-#3701)
guang:
7/24 入2台(LD-#3564)
7/24 入2台(LD-#3720)
8/15 入4台(LD-#3765)
9/7 入1台(LD-#3564-換)
10/20 入3台(LD-#3765-換)
10/25 入3台(LD-#3970)
11/29 入2台(LD-#4083)
12/4 入1台(LD-#3765-換)
guang:
24/1/11 入2台(LD-#4216)
guang:
3/7 入1台(LD-#3765-2換)
3/7 入1台(LD-#4083-換)
4/29 入2台(LD-#4535)
5/22 入3台(LD-#4643)
5/22 入1台(LD-#4083-2換)
6/6 出3台(LD-#4643-喬鋒)
25/1/2 入2台(LD-#5353)
2/25 入4台(LD-#5479)
3/5 入2台(LD-#5512)
3/18 入1台(LD-#5582)
4/10 入3台(LD-#5639)
4/22 入2台(LD-#5694)
5/22 入3台(LD-#5742)
7/16 入3台(LD-#5862)
8/11 入1台(LD-#5909)
10/20 入3台(LD-#6000)
</t>
      </text>
    </comment>
    <comment ref="D9" authorId="1" shapeId="0">
      <text>
        <t>guang:
4/24 M2*1 OK(813-#3459)
guang:
6/9 M1*1 OK(813-#3592)
6/12 M1*1 OK(813-#3592)
7/26 M1*1 OK(410-#3701)
7/28 M1*1 OK(410-#3720)
7/28 NG*1 OK(813-#3564)
8/1 M1*1 OK(813-#3564)
8/2 M1*1 OK(813-#3720)
8/22 M1*1 OK(409-#3765)
8/24 M1*1 OK(409-#3765)
8/29 M1*1 OK(409-#3765)
9/5 M1*1 OK(410-#3765)
9/15 M2*1 OK(410-#3564)
10/24 M1*1 OK(410-#3765)
10/26 M1*1 OK(410-#3765)
10/27 M1*1 OK(410-#3765)
10/31 M1*1 OK(410-#3970)
11/2 M1*1 OK(410-#3970)
11/6 M1*1 OK(410-#3970)
11/8 M2*1 OK(410-#3765)
11/9 M2*1 OK(410-#3765)
11/9 M2*1 NG(410-#3765)
11/10 M2*1 OK(410-#3970)
11/13 M2*1 OK(410-#3970)
11/14 M2*1 OK(410-#3970)
12/28 M1*1 OK(410-#3765-換)
24/1/2 M1*1 OK(410-#4083)
1/4 M1*1 OK(410-#4083)
1/9 M2*1 NG (410-#3765-換)
1/10 M2*1 OK(410-#4083)
1/10 M2*1 NG(410-#4083)
2/1 M1*1 OK(813-#4216)
2/6 M1*1 OK(813-#4216)
4/11 M2*1 OK (410-#3765)
5/8 M1*1 OK(813-#4535)
5/10 M1*1 OK(813-#4535)
8/7 M1*1 OK(813-#4083-換)
8/8 M2*1 OK(813-#4083-換)
guang:
25/2/19 M2*2 OK(813-#5353)
2/26 M1*1 OK(409-#5479)
3/3 M1*1 OK(409-#5479)
3/4 M1*1 OK(409-#5479)
3/5 M1*1 OK(409-#5479)
3/22 M2*1 OK(813-#5512)
3/24 M2*1 OK(813-#5512)
3/25 M2*1 OK(813-#5582)
4/16 M1*1 OK(409-#5639)
4/18 M1*1 OK(409-#5639)
4/21 M1*1 OK(409-#5639)
5/5 M1*1 OK(813-#5694)
5/7 M1*1 OK(813-#5694)
5/7 M2*1 OK(410-#5639)
5/9 M2*1 OK(410-#5694)
5/10 M2*1 OK(410-#5694)
6/17 M1*1 OK(409-#5742)
6/19 M1*1 OK(409-#5742)
6/20 M1*1 OK(409-#5742)
6/24 M2*1 OK(409-#5742)
6/27 M2*1 OK(409-#5742)
7/2 M2*1 OK(409-#5742)
7/18 M1*1 OK(409-#5862)
7/22 M1*1 OK(409-#5862)
7/23 M1*1 OK(409-#5862)
7/24 M2*1 OK(409-#5862)
7/25 M2*1 OK(409-#5862)
7/28 M2*1 OK(409-#5862)
8/25 M1*1 OK(409-#5909)
8/26 M1*1 OK(409-#5909)
11/13~12/2 M1*3 OK(410-#6000)
12/2~5 M2*3 OK(409-#6000)</t>
      </text>
    </comment>
    <comment ref="E9" authorId="1" shapeId="0">
      <text>
        <t xml:space="preserve">guang:
23/4/25 M7*1 OK(648-3459)
guang:
4/25 出1台(橋鋒,元榮-#3459)
6/13 M2*2 OK(17M-#3592)
6/13 M7*1 OK(648-#3592)
6/13 出1台(元榮-#3592)
6/14 M7*1 OK(648-#3592)
6/14 出1台(元榮-#3592)
8/9 M7*1 OK(648-#3701)
8/9 M7*1 OK(648-#3720)
8/10 M7*1 OK(648-#3564)
8/10 M7*1 OK(648-#3720)
8/14 出2台(元榮-#3720)
8/14 出1台(元榮-#3701)
8/14 出1台(元榮-#3564)
9/19 M7*1 OK(648-#3765)
9/19 M7*1 OK(648-#3564-換)
9/20 出2台(元榮-#3564,#3765)
guang:
11/16 M7*2 OK(648-#3765)
11/16 M7*3 OK(648-#3970)
11/2 出5台(元榮-#3970*3,#3765*2)
11/28 入2台(LD-#4083)
24/1/29 M7*1 OK(648-#4083)
24/2/20 出1台(元榮-#4083)
3/4 M7*2 OK(648-#4216)
4/18 M7*1 OK(648-#3765)
4/18 出1台(研磨-#3765)
5/13 M7*2 OK(648-#4535)
5/22 出2台(元榮-#4535)/結合面磨
8/13 M7*1 OK(648-#4083)
25/3/3 M7*2 OK(648-#5353)
3/3 出2台(元榮-#5353)
3/12 M7*4 OK(648-#5479)
3/12 出4台(元榮-#5479)
3/26 M7*2 OK(648-#5512)
3/27 M7*1 OK(648-#5582)
5/12 M7*3 OK(648-#5694)
5/16 出噴漆*3 OK(648-#5694)
6/4 M7*2 OK(648-#5694)
6/16 出噴漆*2 OK(648-#5694)
7/9 M7*3 OK(648-#5742)
7/9 出3台(研磨-#5742)
8/5 M7*3 OK(648-#5862)
9/10 M7*1 OK(813-#5909)
12/16 M7*3 OK(813-#6000)
</t>
      </text>
    </comment>
    <comment ref="F9" authorId="1" shapeId="0">
      <text>
        <t>guang:
25/8/12 研OK*1-#5862
9/17 研OK*1-#5909
12/17 出2台(#5862，#5909)
26/1/5~7 研OK*3-#6000</t>
      </text>
    </comment>
    <comment ref="H9" authorId="1" shapeId="0">
      <text>
        <t xml:space="preserve">guang:
7/28 NG*1 OK(813-#3564)
guang:
9/6 出1台(LD載回-#3564-砂孔)
9/12 NG*3 OK(410-#3765-砂孔)
10/20 出3台(LD載回-#3765-砂孔)
11/9 M2*1 NG(410-#3765-砂孔)
12/4 出1台(LD載回-#3765-砂孔)
24/1/10 M2*1 NG(410-#3765-砂孔)
1/10 M2*1 NG(410-#4083-砂孔)
3/7 出1台(LD載回-#3765-砂孔)
3/7 出1台(LD載回-#4083-砂孔)
3/29 M1*1 NG(410-#4083-砂孔)
4/22 出1台(LD載回-#4083-砂孔)
</t>
      </text>
    </comment>
  </commentList>
</comments>
</file>

<file path=xl/comments/comment6.xml><?xml version="1.0" encoding="utf-8"?>
<comments xmlns="http://schemas.openxmlformats.org/spreadsheetml/2006/main">
  <authors>
    <author>guang</author>
    <author>ralf</author>
  </authors>
  <commentList>
    <comment ref="E2" authorId="0" shapeId="0">
      <text>
        <t xml:space="preserve">guang:
1/31 賣出3個(宏台)
</t>
      </text>
    </comment>
    <comment ref="F2" authorId="1" shapeId="0">
      <text>
        <t>ralf:
12/19 阿光點</t>
      </text>
    </comment>
    <comment ref="C3" authorId="0" shapeId="0">
      <text>
        <t>guang:
2/16 入10台(YJF)</t>
      </text>
    </comment>
    <comment ref="D3" authorId="0" shapeId="0">
      <text>
        <t xml:space="preserve">guang:
含報廢1台guang:
12/22 出1台
</t>
      </text>
    </comment>
    <comment ref="E3" authorId="0" shapeId="0">
      <text>
        <t xml:space="preserve">guang:
1/12出4台
2/8 出4台
9/11 臥搪*1 OK
9/12 臥搪*1 OK
9/14 臥搪*1 OK
9/18 臥搪*1 OK
9/30 臥搪*1 OK
12/06 臥搪*1 OK
guang:
2/2 出9台(6路)
</t>
      </text>
    </comment>
    <comment ref="F3" authorId="1" shapeId="0">
      <text>
        <t>ralf:
12/19阿光點</t>
      </text>
    </comment>
  </commentList>
</comments>
</file>

<file path=xl/comments/comment7.xml><?xml version="1.0" encoding="utf-8"?>
<comments xmlns="http://schemas.openxmlformats.org/spreadsheetml/2006/main">
  <authors>
    <author>ralf</author>
  </authors>
  <commentList>
    <comment ref="E2" authorId="0" shapeId="0">
      <text>
        <t>ralf:
411旁---12/19請政炎載回
3/16 賣出(永錩)</t>
      </text>
    </comment>
  </commentList>
</comments>
</file>

<file path=xl/comments/comment8.xml><?xml version="1.0" encoding="utf-8"?>
<comments xmlns="http://schemas.openxmlformats.org/spreadsheetml/2006/main">
  <authors>
    <author>guang</author>
  </authors>
  <commentList>
    <comment ref="E2" authorId="0" shapeId="0">
      <text>
        <t>guang:
第5區</t>
      </text>
    </comment>
  </commentList>
</comments>
</file>

<file path=xl/comments/comment9.xml><?xml version="1.0" encoding="utf-8"?>
<comments xmlns="http://schemas.openxmlformats.org/spreadsheetml/2006/main">
  <authors>
    <author>guang</author>
  </authors>
  <commentList>
    <comment ref="B2" authorId="0" shapeId="0">
      <text>
        <t xml:space="preserve">guang:
7/7 賣出楊鋼*1
</t>
      </text>
    </comment>
  </commentList>
</comment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 codeName="Sheet6">
    <tabColor indexed="45"/>
    <outlinePr summaryBelow="1" summaryRight="1"/>
    <pageSetUpPr/>
  </sheetPr>
  <dimension ref="A1:AG458"/>
  <sheetViews>
    <sheetView showRuler="0" zoomScale="130" zoomScaleNormal="130" workbookViewId="0">
      <pane ySplit="1" topLeftCell="A29" activePane="bottomLeft" state="frozen"/>
      <selection pane="bottomLeft" activeCell="A112" sqref="A112"/>
    </sheetView>
  </sheetViews>
  <sheetFormatPr baseColWidth="8" defaultRowHeight="16.5"/>
  <cols>
    <col width="23.125" customWidth="1" style="130" min="1" max="1"/>
    <col width="11.75" customWidth="1" style="131" min="2" max="7"/>
    <col width="3.75" customWidth="1" style="130" min="8" max="31"/>
    <col width="18.25" customWidth="1" style="130" min="33" max="33"/>
  </cols>
  <sheetData>
    <row r="1">
      <c r="A1" s="123" t="inlineStr">
        <is>
          <t>機型</t>
        </is>
      </c>
      <c r="B1" s="132" t="inlineStr">
        <is>
          <t>底座</t>
        </is>
      </c>
      <c r="C1" s="132" t="inlineStr">
        <is>
          <t>工作台</t>
        </is>
      </c>
      <c r="D1" s="132" t="inlineStr">
        <is>
          <t>橫樑</t>
        </is>
      </c>
      <c r="E1" s="132" t="inlineStr">
        <is>
          <t>立柱</t>
        </is>
      </c>
      <c r="F1" s="132" t="inlineStr">
        <is>
          <t>機頭</t>
        </is>
      </c>
      <c r="G1" s="132" t="inlineStr">
        <is>
          <t>定樑</t>
        </is>
      </c>
      <c r="H1" s="89" t="n"/>
      <c r="I1" s="89" t="n"/>
      <c r="J1" s="89" t="n"/>
      <c r="K1" s="89" t="n"/>
      <c r="L1" s="89" t="n"/>
      <c r="M1" s="89" t="n"/>
      <c r="N1" s="89" t="n"/>
      <c r="O1" s="89" t="n"/>
      <c r="P1" s="89" t="n"/>
      <c r="Q1" s="89" t="n"/>
      <c r="R1" s="89" t="n"/>
      <c r="S1" s="89" t="n"/>
      <c r="T1" s="89" t="n"/>
      <c r="U1" s="89" t="n"/>
      <c r="V1" s="89" t="n"/>
      <c r="W1" s="89" t="n"/>
      <c r="X1" s="89" t="n"/>
      <c r="Y1" s="89" t="n"/>
      <c r="Z1" s="89" t="n"/>
      <c r="AA1" s="89" t="n"/>
      <c r="AB1" s="89" t="n"/>
      <c r="AC1" s="89" t="n"/>
      <c r="AD1" s="89" t="n"/>
      <c r="AE1" s="89" t="n"/>
      <c r="AF1" s="89" t="n"/>
      <c r="AG1" s="89" t="n"/>
    </row>
    <row r="2" ht="15.95" customHeight="1" s="130">
      <c r="A2" s="112" t="inlineStr">
        <is>
          <t>AHC-X31</t>
        </is>
      </c>
      <c r="B2" s="133" t="n"/>
      <c r="C2" s="133" t="n"/>
      <c r="D2" s="133">
        <f>橫樑!I2</f>
        <v/>
      </c>
      <c r="E2" s="133" t="n"/>
      <c r="F2" s="133" t="n"/>
      <c r="G2" s="132" t="n"/>
      <c r="H2" s="89" t="n"/>
      <c r="I2" s="89" t="n"/>
      <c r="J2" s="89" t="n"/>
      <c r="K2" s="89" t="n"/>
      <c r="L2" s="89" t="n"/>
      <c r="M2" s="89" t="n"/>
      <c r="N2" s="89" t="n"/>
      <c r="O2" s="89" t="n"/>
      <c r="P2" s="89" t="n"/>
      <c r="Q2" s="89" t="n"/>
      <c r="R2" s="89" t="n"/>
      <c r="S2" s="89" t="n"/>
      <c r="T2" s="89" t="n"/>
      <c r="U2" s="89" t="n"/>
      <c r="V2" s="89" t="n"/>
      <c r="W2" s="89" t="n"/>
      <c r="X2" s="89" t="n"/>
      <c r="Y2" s="89" t="n"/>
      <c r="Z2" s="89" t="n"/>
      <c r="AA2" s="89" t="n"/>
      <c r="AB2" s="89" t="n"/>
      <c r="AC2" s="89" t="n"/>
      <c r="AD2" s="89" t="n"/>
      <c r="AE2" s="6" t="n"/>
      <c r="AF2" s="6" t="n"/>
      <c r="AG2" s="89" t="n"/>
    </row>
    <row r="3" ht="15.95" customHeight="1" s="130">
      <c r="A3" s="112" t="inlineStr">
        <is>
          <t>AHC-X36</t>
        </is>
      </c>
      <c r="B3" s="133" t="n"/>
      <c r="C3" s="133" t="n"/>
      <c r="D3" s="133">
        <f>橫樑!I3</f>
        <v/>
      </c>
      <c r="E3" s="133" t="n"/>
      <c r="F3" s="133" t="n"/>
      <c r="G3" s="134" t="n"/>
      <c r="H3" s="11" t="n"/>
      <c r="I3" s="89" t="n"/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  <c r="T3" s="89" t="n"/>
      <c r="U3" s="89" t="n"/>
      <c r="V3" s="89" t="n"/>
      <c r="W3" s="89" t="n"/>
      <c r="X3" s="89" t="n"/>
      <c r="Y3" s="89" t="n"/>
      <c r="Z3" s="89" t="n"/>
      <c r="AA3" s="89" t="n"/>
      <c r="AB3" s="89" t="n"/>
      <c r="AC3" s="89" t="n"/>
      <c r="AD3" s="89" t="n"/>
      <c r="AE3" s="89" t="n"/>
      <c r="AF3" s="6" t="n"/>
      <c r="AG3" s="89" t="n"/>
    </row>
    <row r="4" ht="15.95" customHeight="1" s="130">
      <c r="A4" s="112" t="inlineStr">
        <is>
          <t>AHC-X46</t>
        </is>
      </c>
      <c r="B4" s="133" t="n"/>
      <c r="C4" s="133" t="n"/>
      <c r="D4" s="133">
        <f>橫樑!I4</f>
        <v/>
      </c>
      <c r="E4" s="133" t="n"/>
      <c r="F4" s="133" t="n"/>
      <c r="G4" s="132" t="n"/>
      <c r="H4" s="89" t="n"/>
      <c r="I4" s="89" t="n"/>
      <c r="J4" s="89" t="n"/>
      <c r="K4" s="89" t="n"/>
      <c r="L4" s="89" t="n"/>
      <c r="M4" s="89" t="n"/>
      <c r="N4" s="89" t="n"/>
      <c r="O4" s="89" t="n"/>
      <c r="P4" s="89" t="n"/>
      <c r="Q4" s="89" t="n"/>
      <c r="R4" s="89" t="n"/>
      <c r="S4" s="89" t="n"/>
      <c r="T4" s="89" t="n"/>
      <c r="U4" s="89" t="n"/>
      <c r="V4" s="89" t="n"/>
      <c r="W4" s="89" t="n"/>
      <c r="X4" s="89" t="n"/>
      <c r="Y4" s="89" t="n"/>
      <c r="Z4" s="89" t="n"/>
      <c r="AA4" s="89" t="n"/>
      <c r="AB4" s="89" t="n"/>
      <c r="AC4" s="89" t="n"/>
      <c r="AD4" s="89" t="n"/>
      <c r="AE4" s="89" t="n"/>
      <c r="AF4" s="6" t="n"/>
      <c r="AG4" s="89" t="n"/>
    </row>
    <row r="5" ht="15.95" customFormat="1" customHeight="1" s="135">
      <c r="A5" s="112" t="inlineStr">
        <is>
          <t>AMZ4265</t>
        </is>
      </c>
      <c r="B5" s="133" t="n"/>
      <c r="C5" s="133">
        <f>工作台!#REF!</f>
        <v/>
      </c>
      <c r="D5" s="133" t="n"/>
      <c r="E5" s="133" t="n"/>
      <c r="F5" s="133" t="n"/>
      <c r="G5" s="132" t="n"/>
      <c r="H5" s="135" t="n"/>
      <c r="I5" s="135" t="n"/>
      <c r="J5" s="135" t="n"/>
      <c r="K5" s="135" t="n"/>
      <c r="L5" s="135" t="n"/>
      <c r="M5" s="135" t="n"/>
      <c r="N5" s="135" t="n"/>
      <c r="O5" s="135" t="n"/>
      <c r="P5" s="135" t="n"/>
      <c r="Q5" s="135" t="n"/>
      <c r="R5" s="135" t="n"/>
      <c r="S5" s="135" t="n"/>
      <c r="T5" s="135" t="n"/>
      <c r="U5" s="135" t="n"/>
      <c r="V5" s="135" t="n"/>
      <c r="W5" s="135" t="n"/>
      <c r="X5" s="135" t="n"/>
      <c r="Y5" s="135" t="n"/>
      <c r="Z5" s="135" t="n"/>
      <c r="AA5" s="135" t="n"/>
      <c r="AB5" s="135" t="n"/>
      <c r="AC5" s="135" t="n"/>
      <c r="AD5" s="135" t="n"/>
      <c r="AE5" s="135" t="n"/>
      <c r="AF5" s="135" t="n"/>
      <c r="AG5" s="135" t="n"/>
    </row>
    <row r="6" ht="15" customHeight="1" s="130">
      <c r="A6" s="112" t="inlineStr">
        <is>
          <t>AMZ5350</t>
        </is>
      </c>
      <c r="B6" s="133" t="n"/>
      <c r="C6" s="133" t="n"/>
      <c r="D6" s="133">
        <f>橫樑!#REF!</f>
        <v/>
      </c>
      <c r="E6" s="133" t="n"/>
      <c r="F6" s="133" t="n"/>
      <c r="G6" s="132" t="n"/>
      <c r="H6" s="89" t="n"/>
      <c r="I6" s="89" t="n"/>
      <c r="J6" s="89" t="n"/>
      <c r="K6" s="89" t="n"/>
      <c r="L6" s="89" t="n"/>
      <c r="M6" s="89" t="n"/>
      <c r="N6" s="89" t="n"/>
      <c r="O6" s="89" t="n"/>
      <c r="P6" s="89" t="n"/>
      <c r="Q6" s="89" t="n"/>
      <c r="R6" s="89" t="n"/>
      <c r="S6" s="89" t="n"/>
      <c r="T6" s="89" t="n"/>
      <c r="U6" s="89" t="n"/>
      <c r="V6" s="89" t="n"/>
      <c r="W6" s="89" t="n"/>
      <c r="X6" s="89" t="n"/>
      <c r="Y6" s="89" t="n"/>
      <c r="Z6" s="89" t="n"/>
      <c r="AA6" s="89" t="n"/>
      <c r="AB6" s="89" t="n"/>
      <c r="AC6" s="89" t="n"/>
      <c r="AD6" s="89" t="n"/>
      <c r="AE6" s="89" t="n"/>
      <c r="AF6" s="6" t="n"/>
      <c r="AG6" s="89" t="n"/>
    </row>
    <row r="7" ht="15.95" customHeight="1" s="130">
      <c r="A7" s="112" t="inlineStr">
        <is>
          <t>HB-3190</t>
        </is>
      </c>
      <c r="B7" s="133" t="n"/>
      <c r="C7" s="133">
        <f>工作台!#REF!</f>
        <v/>
      </c>
      <c r="D7" s="133" t="n"/>
      <c r="E7" s="133" t="n"/>
      <c r="F7" s="133" t="n"/>
      <c r="G7" s="132" t="n"/>
      <c r="H7" s="89" t="n"/>
      <c r="I7" s="89" t="n"/>
      <c r="J7" s="89" t="n"/>
      <c r="K7" s="89" t="n"/>
      <c r="L7" s="89" t="n"/>
      <c r="M7" s="89" t="n"/>
      <c r="N7" s="89" t="n"/>
      <c r="O7" s="89" t="n"/>
      <c r="P7" s="89" t="n"/>
      <c r="Q7" s="89" t="n"/>
      <c r="R7" s="89" t="n"/>
      <c r="S7" s="89" t="n"/>
      <c r="T7" s="89" t="n"/>
      <c r="U7" s="89" t="n"/>
      <c r="V7" s="89" t="n"/>
      <c r="W7" s="89" t="n"/>
      <c r="X7" s="89" t="n"/>
      <c r="Y7" s="89" t="n"/>
      <c r="Z7" s="89" t="n"/>
      <c r="AA7" s="89" t="n"/>
      <c r="AB7" s="89" t="n"/>
      <c r="AC7" s="89" t="n"/>
      <c r="AD7" s="89" t="n"/>
      <c r="AE7" s="89" t="n"/>
      <c r="AF7" s="6" t="n"/>
      <c r="AG7" s="89" t="n"/>
    </row>
    <row r="8" ht="15.95" customHeight="1" s="130">
      <c r="A8" s="112" t="inlineStr">
        <is>
          <t>HCMC-1270</t>
        </is>
      </c>
      <c r="B8" s="136" t="n"/>
      <c r="C8" s="133" t="n"/>
      <c r="D8" s="136" t="n"/>
      <c r="E8" s="136" t="n"/>
      <c r="F8" s="133">
        <f>機頭!F3</f>
        <v/>
      </c>
      <c r="G8" s="137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89" t="n"/>
      <c r="U8" s="89" t="n"/>
      <c r="V8" s="89" t="n"/>
      <c r="W8" s="89" t="n"/>
      <c r="X8" s="89" t="n"/>
      <c r="Y8" s="89" t="n"/>
      <c r="Z8" s="89" t="n"/>
      <c r="AA8" s="89" t="n"/>
      <c r="AB8" s="89" t="n"/>
      <c r="AC8" s="89" t="n"/>
      <c r="AD8" s="89" t="n"/>
      <c r="AE8" s="89" t="n"/>
      <c r="AF8" s="6" t="n"/>
      <c r="AG8" s="89" t="n"/>
    </row>
    <row r="9" ht="15.95" customHeight="1" s="130">
      <c r="A9" s="112" t="inlineStr">
        <is>
          <t>HEP2150</t>
        </is>
      </c>
      <c r="B9" s="133">
        <f>底座!F5</f>
        <v/>
      </c>
      <c r="C9" s="133">
        <f>工作台!J2</f>
        <v/>
      </c>
      <c r="D9" s="133">
        <f>橫樑!I5</f>
        <v/>
      </c>
      <c r="E9" s="133" t="n"/>
      <c r="F9" s="133" t="n"/>
      <c r="G9" s="132" t="n"/>
      <c r="H9" s="89" t="n"/>
      <c r="I9" s="89" t="n"/>
      <c r="J9" s="89" t="n"/>
      <c r="K9" s="89" t="n"/>
      <c r="L9" s="89" t="n"/>
      <c r="M9" s="89" t="n"/>
      <c r="N9" s="89" t="n"/>
      <c r="O9" s="89" t="n"/>
      <c r="P9" s="89" t="n"/>
      <c r="Q9" s="89" t="n"/>
      <c r="R9" s="89" t="n"/>
      <c r="S9" s="89" t="n"/>
      <c r="T9" s="89" t="n"/>
      <c r="U9" s="89" t="n"/>
      <c r="V9" s="89" t="n"/>
      <c r="W9" s="89" t="n"/>
      <c r="X9" s="89" t="n"/>
      <c r="Y9" s="89" t="n"/>
      <c r="Z9" s="89" t="n"/>
      <c r="AA9" s="89" t="n"/>
      <c r="AB9" s="89" t="n"/>
      <c r="AC9" s="89" t="n"/>
      <c r="AD9" s="89" t="n"/>
      <c r="AE9" s="89" t="n"/>
      <c r="AF9" s="6" t="n"/>
      <c r="AG9" s="89" t="n"/>
    </row>
    <row r="10" ht="15.95" customHeight="1" s="130">
      <c r="A10" s="112" t="inlineStr">
        <is>
          <t>HSA-216</t>
        </is>
      </c>
      <c r="B10" s="133" t="n"/>
      <c r="C10" s="133">
        <f>工作台!J3</f>
        <v/>
      </c>
      <c r="D10" s="133" t="n"/>
      <c r="E10" s="133" t="n"/>
      <c r="F10" s="133" t="n"/>
      <c r="G10" s="132" t="n"/>
      <c r="H10" s="89" t="n"/>
      <c r="I10" s="89" t="n"/>
      <c r="J10" s="89" t="n"/>
      <c r="K10" s="89" t="n"/>
      <c r="L10" s="89" t="n"/>
      <c r="M10" s="89" t="n"/>
      <c r="N10" s="89" t="n"/>
      <c r="O10" s="89" t="n"/>
      <c r="P10" s="89" t="n"/>
      <c r="Q10" s="89" t="n"/>
      <c r="R10" s="89" t="n"/>
      <c r="S10" s="89" t="n"/>
      <c r="T10" s="89" t="n"/>
      <c r="U10" s="89" t="n"/>
      <c r="V10" s="89" t="n"/>
      <c r="W10" s="89" t="n"/>
      <c r="X10" s="89" t="n"/>
      <c r="Y10" s="89" t="n"/>
      <c r="Z10" s="89" t="n"/>
      <c r="AA10" s="89" t="n"/>
      <c r="AB10" s="89" t="n"/>
      <c r="AC10" s="89" t="n"/>
      <c r="AD10" s="89" t="n"/>
      <c r="AE10" s="89" t="n"/>
      <c r="AF10" s="6" t="n"/>
      <c r="AG10" s="89" t="n"/>
    </row>
    <row r="11" ht="15.95" customHeight="1" s="130">
      <c r="A11" s="112" t="inlineStr">
        <is>
          <t>HEP-2150(一體式-標準)</t>
        </is>
      </c>
      <c r="B11" s="133">
        <f>底座!H6</f>
        <v/>
      </c>
      <c r="C11" s="133" t="n"/>
      <c r="D11" s="133" t="n"/>
      <c r="E11" s="133" t="n"/>
      <c r="F11" s="133" t="n"/>
      <c r="G11" s="132" t="n"/>
      <c r="H11" s="89" t="n"/>
      <c r="I11" s="89" t="n"/>
      <c r="J11" s="89" t="n"/>
      <c r="K11" s="89" t="n"/>
      <c r="L11" s="89" t="n"/>
      <c r="M11" s="89" t="n"/>
      <c r="N11" s="89" t="n"/>
      <c r="O11" s="89" t="n"/>
      <c r="P11" s="89" t="n"/>
      <c r="Q11" s="89" t="n"/>
      <c r="R11" s="89" t="n"/>
      <c r="S11" s="89" t="n"/>
      <c r="T11" s="89" t="n"/>
      <c r="U11" s="89" t="n"/>
      <c r="V11" s="89" t="n"/>
      <c r="W11" s="89" t="n"/>
      <c r="X11" s="89" t="n"/>
      <c r="Y11" s="89" t="n"/>
      <c r="Z11" s="89" t="n"/>
      <c r="AA11" s="89" t="n"/>
      <c r="AB11" s="89" t="n"/>
      <c r="AC11" s="89" t="n"/>
      <c r="AD11" s="89" t="n"/>
      <c r="AE11" s="89" t="n"/>
      <c r="AF11" s="6" t="n"/>
      <c r="AG11" s="89" t="n"/>
    </row>
    <row r="12" ht="15.95" customHeight="1" s="130">
      <c r="A12" s="112" t="inlineStr">
        <is>
          <t>HSA-216(一體式-標準)</t>
        </is>
      </c>
      <c r="B12" s="133">
        <f>底座!H7</f>
        <v/>
      </c>
      <c r="C12" s="133" t="n"/>
      <c r="D12" s="133" t="n"/>
      <c r="E12" s="133" t="n"/>
      <c r="F12" s="133" t="n"/>
      <c r="G12" s="132" t="n"/>
      <c r="H12" s="89" t="n"/>
      <c r="I12" s="89" t="n"/>
      <c r="J12" s="89" t="n"/>
      <c r="K12" s="89" t="n"/>
      <c r="L12" s="89" t="n"/>
      <c r="M12" s="89" t="n"/>
      <c r="N12" s="89" t="n"/>
      <c r="O12" s="89" t="n"/>
      <c r="P12" s="89" t="n"/>
      <c r="Q12" s="89" t="n"/>
      <c r="R12" s="89" t="n"/>
      <c r="S12" s="89" t="n"/>
      <c r="T12" s="89" t="n"/>
      <c r="U12" s="89" t="n"/>
      <c r="V12" s="89" t="n"/>
      <c r="W12" s="89" t="n"/>
      <c r="X12" s="89" t="n"/>
      <c r="Y12" s="89" t="n"/>
      <c r="Z12" s="89" t="n"/>
      <c r="AA12" s="89" t="n"/>
      <c r="AB12" s="89" t="n"/>
      <c r="AC12" s="89" t="n"/>
      <c r="AD12" s="89" t="n"/>
      <c r="AE12" s="89" t="n"/>
      <c r="AF12" s="6" t="n"/>
      <c r="AG12" s="89" t="n"/>
    </row>
    <row r="13" ht="15.95" customHeight="1" s="130">
      <c r="A13" s="112" t="inlineStr">
        <is>
          <t>HEP-216(一體式-100H)</t>
        </is>
      </c>
      <c r="B13" s="133">
        <f>底座!H8</f>
        <v/>
      </c>
      <c r="C13" s="133" t="n"/>
      <c r="D13" s="133" t="n"/>
      <c r="E13" s="133" t="n"/>
      <c r="F13" s="133" t="n"/>
      <c r="G13" s="132" t="n"/>
      <c r="H13" s="89" t="n"/>
      <c r="I13" s="89" t="n"/>
      <c r="J13" s="89" t="n"/>
      <c r="K13" s="89" t="n"/>
      <c r="L13" s="89" t="n"/>
      <c r="M13" s="89" t="n"/>
      <c r="N13" s="89" t="n"/>
      <c r="O13" s="89" t="n"/>
      <c r="P13" s="89" t="n"/>
      <c r="Q13" s="89" t="n"/>
      <c r="R13" s="89" t="n"/>
      <c r="S13" s="89" t="n"/>
      <c r="T13" s="89" t="n"/>
      <c r="U13" s="89" t="n"/>
      <c r="V13" s="89" t="n"/>
      <c r="W13" s="89" t="n"/>
      <c r="X13" s="89" t="n"/>
      <c r="Y13" s="89" t="n"/>
      <c r="Z13" s="89" t="n"/>
      <c r="AA13" s="89" t="n"/>
      <c r="AB13" s="89" t="n"/>
      <c r="AC13" s="89" t="n"/>
      <c r="AD13" s="89" t="n"/>
      <c r="AE13" s="89" t="n"/>
      <c r="AF13" s="6" t="n"/>
      <c r="AG13" s="89" t="n"/>
    </row>
    <row r="14" ht="15.95" customHeight="1" s="130">
      <c r="A14" s="112" t="inlineStr">
        <is>
          <t>HEP-216(一體式-200H)</t>
        </is>
      </c>
      <c r="B14" s="133">
        <f>底座!H9</f>
        <v/>
      </c>
      <c r="C14" s="133" t="n"/>
      <c r="D14" s="133" t="n"/>
      <c r="E14" s="133" t="n"/>
      <c r="F14" s="133" t="n"/>
      <c r="G14" s="132" t="n"/>
      <c r="H14" s="89" t="n"/>
      <c r="I14" s="89" t="n"/>
      <c r="J14" s="89" t="n"/>
      <c r="K14" s="89" t="n"/>
      <c r="L14" s="89" t="n"/>
      <c r="M14" s="89" t="n"/>
      <c r="N14" s="89" t="n"/>
      <c r="O14" s="89" t="n"/>
      <c r="P14" s="89" t="n"/>
      <c r="Q14" s="89" t="n"/>
      <c r="R14" s="89" t="n"/>
      <c r="S14" s="89" t="n"/>
      <c r="T14" s="89" t="n"/>
      <c r="U14" s="89" t="n"/>
      <c r="V14" s="89" t="n"/>
      <c r="W14" s="89" t="n"/>
      <c r="X14" s="89" t="n"/>
      <c r="Y14" s="89" t="n"/>
      <c r="Z14" s="89" t="n"/>
      <c r="AA14" s="89" t="n"/>
      <c r="AB14" s="89" t="n"/>
      <c r="AC14" s="89" t="n"/>
      <c r="AD14" s="89" t="n"/>
      <c r="AE14" s="89" t="n"/>
      <c r="AF14" s="6" t="n"/>
      <c r="AG14" s="89" t="n"/>
    </row>
    <row r="15" ht="15.95" customHeight="1" s="130">
      <c r="A15" s="112" t="inlineStr">
        <is>
          <t>HEP3150</t>
        </is>
      </c>
      <c r="B15" s="133">
        <f>底座!H10</f>
        <v/>
      </c>
      <c r="C15" s="133">
        <f>工作台!J4</f>
        <v/>
      </c>
      <c r="D15" s="133" t="n"/>
      <c r="E15" s="133" t="n"/>
      <c r="F15" s="133" t="n"/>
      <c r="G15" s="132" t="n"/>
      <c r="H15" s="89" t="n"/>
      <c r="I15" s="89" t="n"/>
      <c r="J15" s="89" t="n"/>
      <c r="K15" s="89" t="n"/>
      <c r="L15" s="89" t="n"/>
      <c r="M15" s="89" t="n"/>
      <c r="N15" s="89" t="n"/>
      <c r="O15" s="89" t="n"/>
      <c r="P15" s="89" t="n"/>
      <c r="Q15" s="89" t="n"/>
      <c r="R15" s="89" t="n"/>
      <c r="S15" s="89" t="n"/>
      <c r="T15" s="89" t="n"/>
      <c r="U15" s="89" t="n"/>
      <c r="V15" s="89" t="n"/>
      <c r="W15" s="89" t="n"/>
      <c r="X15" s="89" t="n"/>
      <c r="Y15" s="89" t="n"/>
      <c r="Z15" s="89" t="n"/>
      <c r="AA15" s="89" t="n"/>
      <c r="AB15" s="89" t="n"/>
      <c r="AC15" s="89" t="n"/>
      <c r="AD15" s="89" t="n"/>
      <c r="AE15" s="89" t="n"/>
      <c r="AF15" s="6" t="n"/>
      <c r="AG15" s="89" t="n"/>
    </row>
    <row r="16" ht="15.95" customHeight="1" s="130">
      <c r="A16" s="112" t="inlineStr">
        <is>
          <t>HEP-3150(一體式-Z-80)</t>
        </is>
      </c>
      <c r="B16" s="133">
        <f>底座!H11</f>
        <v/>
      </c>
      <c r="C16" s="133" t="n"/>
      <c r="D16" s="133" t="n"/>
      <c r="E16" s="133" t="n"/>
      <c r="F16" s="133" t="n"/>
      <c r="G16" s="132" t="n"/>
      <c r="H16" s="89" t="n"/>
      <c r="I16" s="89" t="n"/>
      <c r="J16" s="89" t="n"/>
      <c r="K16" s="89" t="n"/>
      <c r="L16" s="89" t="n"/>
      <c r="M16" s="89" t="n"/>
      <c r="N16" s="89" t="n"/>
      <c r="O16" s="89" t="n"/>
      <c r="P16" s="89" t="n"/>
      <c r="Q16" s="89" t="n"/>
      <c r="R16" s="89" t="n"/>
      <c r="S16" s="89" t="n"/>
      <c r="T16" s="89" t="n"/>
      <c r="U16" s="89" t="n"/>
      <c r="V16" s="89" t="n"/>
      <c r="W16" s="89" t="n"/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6" t="n"/>
      <c r="AG16" s="89" t="n"/>
    </row>
    <row r="17" ht="15.95" customHeight="1" s="130">
      <c r="A17" s="112" t="inlineStr">
        <is>
          <t>HEP-3150(一體式-標準)</t>
        </is>
      </c>
      <c r="B17" s="133">
        <f>底座!H12</f>
        <v/>
      </c>
      <c r="C17" s="133" t="n"/>
      <c r="D17" s="133" t="n"/>
      <c r="E17" s="133" t="n"/>
      <c r="F17" s="133" t="n"/>
      <c r="G17" s="132" t="n"/>
      <c r="H17" s="89" t="n"/>
      <c r="I17" s="89" t="n"/>
      <c r="J17" s="89" t="n"/>
      <c r="K17" s="89" t="n"/>
      <c r="L17" s="89" t="n"/>
      <c r="M17" s="89" t="n"/>
      <c r="N17" s="89" t="n"/>
      <c r="O17" s="89" t="n"/>
      <c r="P17" s="89" t="n"/>
      <c r="Q17" s="89" t="n"/>
      <c r="R17" s="89" t="n"/>
      <c r="S17" s="89" t="n"/>
      <c r="T17" s="89" t="n"/>
      <c r="U17" s="89" t="n"/>
      <c r="V17" s="89" t="n"/>
      <c r="W17" s="89" t="n"/>
      <c r="X17" s="89" t="n"/>
      <c r="Y17" s="89" t="n"/>
      <c r="Z17" s="89" t="n"/>
      <c r="AA17" s="89" t="n"/>
      <c r="AB17" s="89" t="n"/>
      <c r="AC17" s="89" t="n"/>
      <c r="AD17" s="89" t="n"/>
      <c r="AE17" s="89" t="n"/>
      <c r="AF17" s="6" t="n"/>
      <c r="AG17" s="89" t="n"/>
    </row>
    <row r="18" ht="15.95" customHeight="1" s="130">
      <c r="A18" s="112" t="inlineStr">
        <is>
          <t>HSA-316(一體式-標準)</t>
        </is>
      </c>
      <c r="B18" s="133">
        <f>底座!H13</f>
        <v/>
      </c>
      <c r="C18" s="133" t="n"/>
      <c r="D18" s="133" t="n"/>
      <c r="E18" s="133" t="n"/>
      <c r="F18" s="133" t="n"/>
      <c r="G18" s="132" t="n"/>
      <c r="H18" s="89" t="n"/>
      <c r="I18" s="89" t="n"/>
      <c r="J18" s="89" t="n"/>
      <c r="K18" s="89" t="n"/>
      <c r="L18" s="89" t="n"/>
      <c r="M18" s="89" t="n"/>
      <c r="N18" s="89" t="n"/>
      <c r="O18" s="89" t="n"/>
      <c r="P18" s="89" t="n"/>
      <c r="Q18" s="89" t="n"/>
      <c r="R18" s="89" t="n"/>
      <c r="S18" s="89" t="n"/>
      <c r="T18" s="89" t="n"/>
      <c r="U18" s="89" t="n"/>
      <c r="V18" s="89" t="n"/>
      <c r="W18" s="89" t="n"/>
      <c r="X18" s="89" t="n"/>
      <c r="Y18" s="89" t="n"/>
      <c r="Z18" s="89" t="n"/>
      <c r="AA18" s="89" t="n"/>
      <c r="AB18" s="89" t="n"/>
      <c r="AC18" s="89" t="n"/>
      <c r="AD18" s="89" t="n"/>
      <c r="AE18" s="89" t="n"/>
      <c r="AF18" s="6" t="n"/>
      <c r="AG18" s="89" t="n"/>
    </row>
    <row r="19" ht="15.95" customHeight="1" s="130">
      <c r="A19" s="112" t="inlineStr">
        <is>
          <t>HSA-316(一體式-100H)</t>
        </is>
      </c>
      <c r="B19" s="133">
        <f>底座!H14</f>
        <v/>
      </c>
      <c r="C19" s="133" t="n"/>
      <c r="D19" s="133" t="n"/>
      <c r="E19" s="133" t="n"/>
      <c r="F19" s="133" t="n"/>
      <c r="G19" s="132" t="n"/>
      <c r="H19" s="89" t="n"/>
      <c r="I19" s="89" t="n"/>
      <c r="J19" s="89" t="n"/>
      <c r="K19" s="89" t="n"/>
      <c r="L19" s="89" t="n"/>
      <c r="M19" s="89" t="n"/>
      <c r="N19" s="89" t="n"/>
      <c r="O19" s="89" t="n"/>
      <c r="P19" s="89" t="n"/>
      <c r="Q19" s="89" t="n"/>
      <c r="R19" s="89" t="n"/>
      <c r="S19" s="89" t="n"/>
      <c r="T19" s="89" t="n"/>
      <c r="U19" s="89" t="n"/>
      <c r="V19" s="89" t="n"/>
      <c r="W19" s="89" t="n"/>
      <c r="X19" s="89" t="n"/>
      <c r="Y19" s="89" t="n"/>
      <c r="Z19" s="89" t="n"/>
      <c r="AA19" s="89" t="n"/>
      <c r="AB19" s="89" t="n"/>
      <c r="AC19" s="89" t="n"/>
      <c r="AD19" s="89" t="n"/>
      <c r="AE19" s="89" t="n"/>
      <c r="AF19" s="6" t="n"/>
      <c r="AG19" s="89" t="n"/>
    </row>
    <row r="20" ht="15.95" customHeight="1" s="130">
      <c r="A20" s="112" t="inlineStr">
        <is>
          <t>HSA-316(一體式-200H)</t>
        </is>
      </c>
      <c r="B20" s="133">
        <f>底座!H15</f>
        <v/>
      </c>
      <c r="C20" s="133" t="n"/>
      <c r="D20" s="133" t="n"/>
      <c r="E20" s="133" t="n"/>
      <c r="F20" s="133" t="n"/>
      <c r="G20" s="132" t="n"/>
      <c r="H20" s="89" t="n"/>
      <c r="I20" s="89" t="n"/>
      <c r="J20" s="89" t="n"/>
      <c r="K20" s="89" t="n"/>
      <c r="L20" s="89" t="n"/>
      <c r="M20" s="89" t="n"/>
      <c r="N20" s="89" t="n"/>
      <c r="O20" s="89" t="n"/>
      <c r="P20" s="89" t="n"/>
      <c r="Q20" s="89" t="n"/>
      <c r="R20" s="89" t="n"/>
      <c r="S20" s="89" t="n"/>
      <c r="T20" s="89" t="n"/>
      <c r="U20" s="89" t="n"/>
      <c r="V20" s="89" t="n"/>
      <c r="W20" s="89" t="n"/>
      <c r="X20" s="89" t="n"/>
      <c r="Y20" s="89" t="n"/>
      <c r="Z20" s="89" t="n"/>
      <c r="AA20" s="89" t="n"/>
      <c r="AB20" s="89" t="n"/>
      <c r="AC20" s="89" t="n"/>
      <c r="AD20" s="89" t="n"/>
      <c r="AE20" s="89" t="n"/>
      <c r="AF20" s="6" t="n"/>
      <c r="AG20" s="89" t="n"/>
    </row>
    <row r="21" ht="15.95" customHeight="1" s="130">
      <c r="A21" s="112" t="inlineStr">
        <is>
          <t>HSA-316</t>
        </is>
      </c>
      <c r="B21" s="133" t="n"/>
      <c r="C21" s="133">
        <f>工作台!J5</f>
        <v/>
      </c>
      <c r="D21" s="133" t="n"/>
      <c r="E21" s="133" t="n"/>
      <c r="F21" s="133" t="n"/>
      <c r="G21" s="132" t="n"/>
      <c r="H21" s="89" t="n"/>
      <c r="I21" s="89" t="n"/>
      <c r="J21" s="89" t="n"/>
      <c r="K21" s="89" t="n"/>
      <c r="L21" s="89" t="n"/>
      <c r="M21" s="89" t="n"/>
      <c r="N21" s="89" t="n"/>
      <c r="O21" s="89" t="n"/>
      <c r="P21" s="89" t="n"/>
      <c r="Q21" s="89" t="n"/>
      <c r="R21" s="89" t="n"/>
      <c r="S21" s="89" t="n"/>
      <c r="T21" s="89" t="n"/>
      <c r="U21" s="89" t="n"/>
      <c r="V21" s="89" t="n"/>
      <c r="W21" s="89" t="n"/>
      <c r="X21" s="89" t="n"/>
      <c r="Y21" s="89" t="n"/>
      <c r="Z21" s="89" t="n"/>
      <c r="AA21" s="89" t="n"/>
      <c r="AB21" s="89" t="n"/>
      <c r="AC21" s="89" t="n"/>
      <c r="AD21" s="89" t="n"/>
      <c r="AE21" s="89" t="n"/>
      <c r="AF21" s="6" t="n"/>
      <c r="AG21" s="89" t="n"/>
    </row>
    <row r="22" ht="15.95" customHeight="1" s="130">
      <c r="A22" s="112" t="inlineStr">
        <is>
          <t>HEP-1420立柱</t>
        </is>
      </c>
      <c r="B22" s="133" t="n"/>
      <c r="C22" s="133" t="n"/>
      <c r="D22" s="133" t="n"/>
      <c r="E22" s="133">
        <f>立柱!#REF!</f>
        <v/>
      </c>
      <c r="F22" s="133" t="n"/>
      <c r="G22" s="132" t="n"/>
      <c r="H22" s="89" t="n"/>
      <c r="I22" s="89" t="n"/>
      <c r="J22" s="89" t="n"/>
      <c r="K22" s="89" t="n"/>
      <c r="L22" s="89" t="n"/>
      <c r="M22" s="89" t="n"/>
      <c r="N22" s="89" t="n"/>
      <c r="O22" s="89" t="n"/>
      <c r="P22" s="89" t="n"/>
      <c r="Q22" s="89" t="n"/>
      <c r="R22" s="89" t="n"/>
      <c r="S22" s="89" t="n"/>
      <c r="T22" s="89" t="n"/>
      <c r="U22" s="89" t="n"/>
      <c r="V22" s="89" t="n"/>
      <c r="W22" s="89" t="n"/>
      <c r="X22" s="89" t="n"/>
      <c r="Y22" s="89" t="n"/>
      <c r="Z22" s="89" t="n"/>
      <c r="AA22" s="89" t="n"/>
      <c r="AB22" s="89" t="n"/>
      <c r="AC22" s="89" t="n"/>
      <c r="AD22" s="89" t="n"/>
      <c r="AE22" s="89" t="n"/>
      <c r="AF22" s="6" t="n"/>
      <c r="AG22" s="89" t="n"/>
    </row>
    <row r="23" ht="15.95" customHeight="1" s="130">
      <c r="A23" s="112" t="inlineStr">
        <is>
          <t>HEP-1520立柱</t>
        </is>
      </c>
      <c r="B23" s="133" t="n"/>
      <c r="C23" s="133" t="n"/>
      <c r="D23" s="133" t="n"/>
      <c r="E23" s="133">
        <f>立柱!#REF!</f>
        <v/>
      </c>
      <c r="F23" s="133" t="n"/>
      <c r="G23" s="132" t="n"/>
      <c r="H23" s="89" t="n"/>
      <c r="I23" s="89" t="n"/>
      <c r="J23" s="89" t="n"/>
      <c r="K23" s="89" t="n"/>
      <c r="L23" s="89" t="n"/>
      <c r="M23" s="89" t="n"/>
      <c r="N23" s="89" t="n"/>
      <c r="O23" s="89" t="n"/>
      <c r="P23" s="89" t="n"/>
      <c r="Q23" s="89" t="n"/>
      <c r="R23" s="89" t="n"/>
      <c r="S23" s="89" t="n"/>
      <c r="T23" s="89" t="n"/>
      <c r="U23" s="89" t="n"/>
      <c r="V23" s="89" t="n"/>
      <c r="W23" s="89" t="n"/>
      <c r="X23" s="89" t="n"/>
      <c r="Y23" s="89" t="n"/>
      <c r="Z23" s="89" t="n"/>
      <c r="AA23" s="89" t="n"/>
      <c r="AB23" s="89" t="n"/>
      <c r="AC23" s="89" t="n"/>
      <c r="AD23" s="89" t="n"/>
      <c r="AE23" s="89" t="n"/>
      <c r="AF23" s="6" t="n"/>
      <c r="AG23" s="89" t="n"/>
    </row>
    <row r="24" ht="15.95" customHeight="1" s="130">
      <c r="A24" s="112" t="inlineStr">
        <is>
          <t>HEP-1620立柱</t>
        </is>
      </c>
      <c r="B24" s="133" t="n"/>
      <c r="C24" s="133" t="n"/>
      <c r="D24" s="133" t="n"/>
      <c r="E24" s="133">
        <f>立柱!#REF!</f>
        <v/>
      </c>
      <c r="F24" s="133" t="n"/>
      <c r="G24" s="132" t="n"/>
      <c r="H24" s="89" t="n"/>
      <c r="I24" s="89" t="n"/>
      <c r="J24" s="89" t="n"/>
      <c r="K24" s="89" t="n"/>
      <c r="L24" s="89" t="n"/>
      <c r="M24" s="89" t="n"/>
      <c r="N24" s="89" t="n"/>
      <c r="O24" s="89" t="n"/>
      <c r="P24" s="89" t="n"/>
      <c r="Q24" s="89" t="n"/>
      <c r="R24" s="89" t="n"/>
      <c r="S24" s="89" t="n"/>
      <c r="T24" s="89" t="n"/>
      <c r="U24" s="89" t="n"/>
      <c r="V24" s="89" t="n"/>
      <c r="W24" s="89" t="n"/>
      <c r="X24" s="89" t="n"/>
      <c r="Y24" s="89" t="n"/>
      <c r="Z24" s="89" t="n"/>
      <c r="AA24" s="89" t="n"/>
      <c r="AB24" s="89" t="n"/>
      <c r="AC24" s="89" t="n"/>
      <c r="AD24" s="89" t="n"/>
      <c r="AE24" s="89" t="n"/>
      <c r="AF24" s="6" t="n"/>
      <c r="AG24" s="89" t="n"/>
    </row>
    <row r="25" ht="15.95" customHeight="1" s="130">
      <c r="A25" s="112" t="inlineStr">
        <is>
          <t>HEP-1720立柱</t>
        </is>
      </c>
      <c r="B25" s="133" t="n"/>
      <c r="C25" s="133" t="n"/>
      <c r="D25" s="133" t="n"/>
      <c r="E25" s="133">
        <f>立柱!#REF!</f>
        <v/>
      </c>
      <c r="F25" s="133" t="n"/>
      <c r="G25" s="132" t="n"/>
      <c r="H25" s="89" t="n"/>
      <c r="I25" s="89" t="n"/>
      <c r="J25" s="89" t="n"/>
      <c r="K25" s="89" t="n"/>
      <c r="L25" s="89" t="n"/>
      <c r="M25" s="89" t="n"/>
      <c r="N25" s="89" t="n"/>
      <c r="O25" s="89" t="n"/>
      <c r="P25" s="89" t="n"/>
      <c r="Q25" s="89" t="n"/>
      <c r="R25" s="89" t="n"/>
      <c r="S25" s="89" t="n"/>
      <c r="T25" s="89" t="n"/>
      <c r="U25" s="89" t="n"/>
      <c r="V25" s="89" t="n"/>
      <c r="W25" s="89" t="n"/>
      <c r="X25" s="89" t="n"/>
      <c r="Y25" s="89" t="n"/>
      <c r="Z25" s="89" t="n"/>
      <c r="AA25" s="89" t="n"/>
      <c r="AB25" s="89" t="n"/>
      <c r="AC25" s="89" t="n"/>
      <c r="AD25" s="89" t="n"/>
      <c r="AE25" s="89" t="n"/>
      <c r="AF25" s="6" t="n"/>
      <c r="AG25" s="89" t="n"/>
    </row>
    <row r="26" ht="15.95" customHeight="1" s="130">
      <c r="A26" s="112" t="inlineStr">
        <is>
          <t>HSA-2212</t>
        </is>
      </c>
      <c r="B26" s="133">
        <f>底座!H2</f>
        <v/>
      </c>
      <c r="C26" s="133">
        <f>工作台!J38</f>
        <v/>
      </c>
      <c r="D26" s="133" t="n"/>
      <c r="E26" s="133" t="n"/>
      <c r="F26" s="133" t="n"/>
      <c r="G26" s="132" t="n"/>
      <c r="H26" s="89" t="n"/>
      <c r="I26" s="89" t="n"/>
      <c r="J26" s="89" t="n"/>
      <c r="K26" s="89" t="n"/>
      <c r="L26" s="89" t="n"/>
      <c r="M26" s="89" t="n"/>
      <c r="N26" s="89" t="n"/>
      <c r="O26" s="89" t="n"/>
      <c r="P26" s="89" t="n"/>
      <c r="Q26" s="89" t="n"/>
      <c r="R26" s="89" t="n"/>
      <c r="S26" s="89" t="n"/>
      <c r="T26" s="89" t="n"/>
      <c r="U26" s="89" t="n"/>
      <c r="V26" s="89" t="n"/>
      <c r="W26" s="89" t="n"/>
      <c r="X26" s="89" t="n"/>
      <c r="Y26" s="89" t="n"/>
      <c r="Z26" s="89" t="n"/>
      <c r="AA26" s="89" t="n"/>
      <c r="AB26" s="89" t="n"/>
      <c r="AC26" s="89" t="n"/>
      <c r="AD26" s="89" t="n"/>
      <c r="AE26" s="89" t="n"/>
      <c r="AF26" s="6" t="n"/>
      <c r="AG26" s="89" t="n"/>
    </row>
    <row r="27" ht="15.95" customHeight="1" s="130">
      <c r="A27" s="112" t="inlineStr">
        <is>
          <t>HSA-2212(一體式-200H)</t>
        </is>
      </c>
      <c r="B27" s="133">
        <f>底座!H3</f>
        <v/>
      </c>
      <c r="C27" s="133" t="n"/>
      <c r="D27" s="133" t="n"/>
      <c r="E27" s="133" t="n"/>
      <c r="F27" s="133" t="n"/>
      <c r="G27" s="132" t="n"/>
      <c r="H27" s="89" t="n"/>
      <c r="I27" s="89" t="n"/>
      <c r="J27" s="89" t="n"/>
      <c r="K27" s="89" t="n"/>
      <c r="L27" s="89" t="n"/>
      <c r="M27" s="89" t="n"/>
      <c r="N27" s="89" t="n"/>
      <c r="O27" s="89" t="n"/>
      <c r="P27" s="89" t="n"/>
      <c r="Q27" s="89" t="n"/>
      <c r="R27" s="89" t="n"/>
      <c r="S27" s="89" t="n"/>
      <c r="T27" s="89" t="n"/>
      <c r="U27" s="89" t="n"/>
      <c r="V27" s="89" t="n"/>
      <c r="W27" s="89" t="n"/>
      <c r="X27" s="89" t="n"/>
      <c r="Y27" s="89" t="n"/>
      <c r="Z27" s="89" t="n"/>
      <c r="AA27" s="89" t="n"/>
      <c r="AB27" s="89" t="n"/>
      <c r="AC27" s="89" t="n"/>
      <c r="AD27" s="89" t="n"/>
      <c r="AE27" s="89" t="n"/>
      <c r="AF27" s="6" t="n"/>
      <c r="AG27" s="89" t="n"/>
    </row>
    <row r="28" ht="15.95" customHeight="1" s="130">
      <c r="A28" s="112" t="inlineStr">
        <is>
          <t>HSA-3212</t>
        </is>
      </c>
      <c r="B28" s="133">
        <f>底座!H4</f>
        <v/>
      </c>
      <c r="C28" s="133">
        <f>工作台!J39</f>
        <v/>
      </c>
      <c r="D28" s="133" t="n"/>
      <c r="E28" s="133" t="n"/>
      <c r="F28" s="133" t="n"/>
      <c r="G28" s="132" t="n"/>
      <c r="H28" s="89" t="n"/>
      <c r="I28" s="89" t="n"/>
      <c r="J28" s="89" t="n"/>
      <c r="K28" s="89" t="n"/>
      <c r="L28" s="89" t="n"/>
      <c r="M28" s="89" t="n"/>
      <c r="N28" s="89" t="n"/>
      <c r="O28" s="89" t="n"/>
      <c r="P28" s="89" t="n"/>
      <c r="Q28" s="89" t="n"/>
      <c r="R28" s="89" t="n"/>
      <c r="S28" s="89" t="n"/>
      <c r="T28" s="89" t="n"/>
      <c r="U28" s="89" t="n"/>
      <c r="V28" s="89" t="n"/>
      <c r="W28" s="89" t="n"/>
      <c r="X28" s="89" t="n"/>
      <c r="Y28" s="89" t="n"/>
      <c r="Z28" s="89" t="n"/>
      <c r="AA28" s="89" t="n"/>
      <c r="AB28" s="89" t="n"/>
      <c r="AC28" s="89" t="n"/>
      <c r="AD28" s="89" t="n"/>
      <c r="AE28" s="89" t="n"/>
      <c r="AF28" s="6" t="n"/>
      <c r="AG28" s="89" t="n"/>
    </row>
    <row r="29" ht="15.95" customHeight="1" s="130">
      <c r="A29" s="112" t="inlineStr">
        <is>
          <t>HSA-220</t>
        </is>
      </c>
      <c r="B29" s="133">
        <f>底座!H16</f>
        <v/>
      </c>
      <c r="C29" s="133">
        <f>工作台!J6</f>
        <v/>
      </c>
      <c r="D29" s="133" t="n"/>
      <c r="E29" s="133" t="n"/>
      <c r="F29" s="133" t="n"/>
      <c r="G29" s="132" t="n"/>
      <c r="H29" s="89" t="n"/>
      <c r="I29" s="89" t="n"/>
      <c r="J29" s="89" t="n"/>
      <c r="K29" s="89" t="n"/>
      <c r="L29" s="89" t="n"/>
      <c r="M29" s="89" t="n"/>
      <c r="N29" s="89" t="n"/>
      <c r="O29" s="89" t="n"/>
      <c r="P29" s="89" t="n"/>
      <c r="Q29" s="89" t="n"/>
      <c r="R29" s="89" t="n"/>
      <c r="S29" s="89" t="n"/>
      <c r="T29" s="89" t="n"/>
      <c r="U29" s="89" t="n"/>
      <c r="V29" s="89" t="n"/>
      <c r="W29" s="89" t="n"/>
      <c r="X29" s="89" t="n"/>
      <c r="Y29" s="89" t="n"/>
      <c r="Z29" s="89" t="n"/>
      <c r="AA29" s="89" t="n"/>
      <c r="AB29" s="89" t="n"/>
      <c r="AC29" s="89" t="n"/>
      <c r="AD29" s="89" t="n"/>
      <c r="AE29" s="89" t="n"/>
      <c r="AF29" s="6" t="n"/>
      <c r="AG29" s="89" t="n"/>
    </row>
    <row r="30" ht="15.95" customHeight="1" s="130">
      <c r="A30" s="112" t="inlineStr">
        <is>
          <t>HSA-320</t>
        </is>
      </c>
      <c r="B30" s="133">
        <f>底座!H17</f>
        <v/>
      </c>
      <c r="C30" s="133">
        <f>工作台!J7</f>
        <v/>
      </c>
      <c r="D30" s="133" t="n"/>
      <c r="E30" s="133" t="n"/>
      <c r="F30" s="133" t="n"/>
      <c r="G30" s="132" t="n"/>
      <c r="H30" s="89" t="n"/>
      <c r="I30" s="89" t="n"/>
      <c r="J30" s="89" t="n"/>
      <c r="K30" s="89" t="n"/>
      <c r="L30" s="89" t="n"/>
      <c r="M30" s="89" t="n"/>
      <c r="N30" s="89" t="n"/>
      <c r="O30" s="89" t="n"/>
      <c r="P30" s="89" t="n"/>
      <c r="Q30" s="89" t="n"/>
      <c r="R30" s="89" t="n"/>
      <c r="S30" s="89" t="n"/>
      <c r="T30" s="89" t="n"/>
      <c r="U30" s="89" t="n"/>
      <c r="V30" s="89" t="n"/>
      <c r="W30" s="89" t="n"/>
      <c r="X30" s="89" t="n"/>
      <c r="Y30" s="89" t="n"/>
      <c r="Z30" s="89" t="n"/>
      <c r="AA30" s="89" t="n"/>
      <c r="AB30" s="89" t="n"/>
      <c r="AC30" s="89" t="n"/>
      <c r="AD30" s="89" t="n"/>
      <c r="AE30" s="89" t="n"/>
      <c r="AF30" s="6" t="n"/>
      <c r="AG30" s="89" t="n"/>
    </row>
    <row r="31" ht="15.95" customHeight="1" s="130">
      <c r="A31" s="112" t="inlineStr">
        <is>
          <t>HSA-320_NEO</t>
        </is>
      </c>
      <c r="B31" s="133">
        <f>底座!H18</f>
        <v/>
      </c>
      <c r="C31" s="133">
        <f>工作台!J8</f>
        <v/>
      </c>
      <c r="D31" s="133" t="n"/>
      <c r="E31" s="133" t="n"/>
      <c r="F31" s="133" t="n"/>
      <c r="G31" s="132" t="n"/>
      <c r="H31" s="89" t="n"/>
      <c r="I31" s="89" t="n"/>
      <c r="J31" s="89" t="n"/>
      <c r="K31" s="89" t="n"/>
      <c r="L31" s="89" t="n"/>
      <c r="M31" s="89" t="n"/>
      <c r="N31" s="89" t="n"/>
      <c r="O31" s="89" t="n"/>
      <c r="P31" s="89" t="n"/>
      <c r="Q31" s="89" t="n"/>
      <c r="R31" s="89" t="n"/>
      <c r="S31" s="89" t="n"/>
      <c r="T31" s="89" t="n"/>
      <c r="U31" s="89" t="n"/>
      <c r="V31" s="89" t="n"/>
      <c r="W31" s="89" t="n"/>
      <c r="X31" s="89" t="n"/>
      <c r="Y31" s="89" t="n"/>
      <c r="Z31" s="89" t="n"/>
      <c r="AA31" s="89" t="n"/>
      <c r="AB31" s="89" t="n"/>
      <c r="AC31" s="89" t="n"/>
      <c r="AD31" s="89" t="n"/>
      <c r="AE31" s="89" t="n"/>
      <c r="AF31" s="6" t="n"/>
      <c r="AG31" s="89" t="n"/>
    </row>
    <row r="32" ht="15.95" customHeight="1" s="130">
      <c r="A32" s="112" t="inlineStr">
        <is>
          <t>HSA323</t>
        </is>
      </c>
      <c r="B32" s="133">
        <f>底座!H19</f>
        <v/>
      </c>
      <c r="C32" s="133">
        <f>工作台!J9</f>
        <v/>
      </c>
      <c r="D32" s="133" t="n"/>
      <c r="E32" s="133" t="n"/>
      <c r="F32" s="133" t="n"/>
      <c r="G32" s="132" t="n"/>
      <c r="H32" s="89" t="n"/>
      <c r="I32" s="89" t="n"/>
      <c r="J32" s="89" t="n"/>
      <c r="K32" s="89" t="n"/>
      <c r="L32" s="89" t="n"/>
      <c r="M32" s="89" t="n"/>
      <c r="N32" s="89" t="n"/>
      <c r="O32" s="89" t="n"/>
      <c r="P32" s="89" t="n"/>
      <c r="Q32" s="89" t="n"/>
      <c r="R32" s="89" t="n"/>
      <c r="S32" s="89" t="n"/>
      <c r="T32" s="89" t="n"/>
      <c r="U32" s="89" t="n"/>
      <c r="V32" s="89" t="n"/>
      <c r="W32" s="89" t="n"/>
      <c r="X32" s="89" t="n"/>
      <c r="Y32" s="89" t="n"/>
      <c r="Z32" s="89" t="n"/>
      <c r="AA32" s="89" t="n"/>
      <c r="AB32" s="89" t="n"/>
      <c r="AC32" s="89" t="n"/>
      <c r="AD32" s="89" t="n"/>
      <c r="AE32" s="89" t="n"/>
      <c r="AF32" s="6" t="n"/>
      <c r="AG32" s="89" t="n"/>
    </row>
    <row r="33" ht="15.95" customHeight="1" s="130">
      <c r="A33" s="112" t="inlineStr">
        <is>
          <t>HSA328</t>
        </is>
      </c>
      <c r="B33" s="138">
        <f>底座!H20</f>
        <v/>
      </c>
      <c r="C33" s="133">
        <f>工作台!J10</f>
        <v/>
      </c>
      <c r="D33" s="133" t="n"/>
      <c r="E33" s="133" t="n"/>
      <c r="F33" s="133" t="n"/>
      <c r="G33" s="132" t="n"/>
      <c r="H33" s="89" t="n"/>
      <c r="I33" s="89" t="n"/>
      <c r="J33" s="89" t="n"/>
      <c r="K33" s="89" t="n"/>
      <c r="L33" s="89" t="n"/>
      <c r="M33" s="89" t="n"/>
      <c r="N33" s="89" t="n"/>
      <c r="O33" s="89" t="n"/>
      <c r="P33" s="89" t="n"/>
      <c r="Q33" s="89" t="n"/>
      <c r="R33" s="89" t="n"/>
      <c r="S33" s="89" t="n"/>
      <c r="T33" s="89" t="n"/>
      <c r="U33" s="89" t="n"/>
      <c r="V33" s="89" t="n"/>
      <c r="W33" s="89" t="n"/>
      <c r="X33" s="89" t="n"/>
      <c r="Y33" s="89" t="n"/>
      <c r="Z33" s="89" t="n"/>
      <c r="AA33" s="89" t="n"/>
      <c r="AB33" s="89" t="n"/>
      <c r="AC33" s="89" t="n"/>
      <c r="AD33" s="89" t="n"/>
      <c r="AE33" s="89" t="n"/>
      <c r="AF33" s="6" t="n"/>
      <c r="AG33" s="89" t="n"/>
    </row>
    <row r="34" ht="15.95" customHeight="1" s="130">
      <c r="A34" s="112" t="inlineStr">
        <is>
          <t>HSA327</t>
        </is>
      </c>
      <c r="B34" s="133">
        <f>底座!H21</f>
        <v/>
      </c>
      <c r="C34" s="133" t="n"/>
      <c r="D34" s="133" t="n"/>
      <c r="E34" s="133" t="n"/>
      <c r="F34" s="133" t="n"/>
      <c r="G34" s="132" t="n"/>
      <c r="H34" s="89" t="n"/>
      <c r="I34" s="89" t="n"/>
      <c r="J34" s="89" t="n"/>
      <c r="K34" s="89" t="n"/>
      <c r="L34" s="89" t="n"/>
      <c r="M34" s="89" t="n"/>
      <c r="N34" s="89" t="n"/>
      <c r="O34" s="89" t="n"/>
      <c r="P34" s="89" t="n"/>
      <c r="Q34" s="89" t="n"/>
      <c r="R34" s="89" t="n"/>
      <c r="S34" s="89" t="n"/>
      <c r="T34" s="89" t="n"/>
      <c r="U34" s="89" t="n"/>
      <c r="V34" s="89" t="n"/>
      <c r="W34" s="89" t="n"/>
      <c r="X34" s="89" t="n"/>
      <c r="Y34" s="89" t="n"/>
      <c r="Z34" s="89" t="n"/>
      <c r="AA34" s="89" t="n"/>
      <c r="AB34" s="89" t="n"/>
      <c r="AC34" s="89" t="n"/>
      <c r="AD34" s="89" t="n"/>
      <c r="AE34" s="89" t="n"/>
      <c r="AF34" s="6" t="n"/>
      <c r="AG34" s="89" t="n"/>
    </row>
    <row r="35" ht="15.95" customHeight="1" s="130">
      <c r="A35" s="112" t="inlineStr">
        <is>
          <t>HSA-420</t>
        </is>
      </c>
      <c r="B35" s="133">
        <f>底座!H22</f>
        <v/>
      </c>
      <c r="C35" s="133">
        <f>工作台!J11</f>
        <v/>
      </c>
      <c r="D35" s="133" t="n">
        <v>0</v>
      </c>
      <c r="E35" s="133" t="n"/>
      <c r="F35" s="133" t="n"/>
      <c r="G35" s="132" t="n"/>
      <c r="H35" s="89" t="n"/>
      <c r="I35" s="89" t="n"/>
      <c r="J35" s="89" t="n"/>
      <c r="K35" s="89" t="n"/>
      <c r="L35" s="89" t="n"/>
      <c r="M35" s="89" t="n"/>
      <c r="N35" s="89" t="n"/>
      <c r="O35" s="89" t="n"/>
      <c r="P35" s="89" t="n"/>
      <c r="Q35" s="89" t="n"/>
      <c r="R35" s="89" t="n"/>
      <c r="S35" s="89" t="n"/>
      <c r="T35" s="89" t="n"/>
      <c r="U35" s="89" t="n"/>
      <c r="V35" s="89" t="n"/>
      <c r="W35" s="89" t="n"/>
      <c r="X35" s="89" t="n"/>
      <c r="Y35" s="89" t="n"/>
      <c r="Z35" s="89" t="n"/>
      <c r="AA35" s="89" t="n"/>
      <c r="AB35" s="89" t="n"/>
      <c r="AC35" s="89" t="n"/>
      <c r="AD35" s="89" t="n"/>
      <c r="AE35" s="89" t="n"/>
      <c r="AF35" s="6" t="n"/>
      <c r="AG35" s="89" t="n"/>
    </row>
    <row r="36" ht="15.95" customHeight="1" s="130">
      <c r="A36" s="112" t="inlineStr">
        <is>
          <t>HSA423_NEO</t>
        </is>
      </c>
      <c r="B36" s="133">
        <f>底座!H24</f>
        <v/>
      </c>
      <c r="C36" s="133">
        <f>工作台!J12</f>
        <v/>
      </c>
      <c r="D36" s="133" t="n">
        <v>0</v>
      </c>
      <c r="E36" s="133" t="n"/>
      <c r="F36" s="133" t="n"/>
      <c r="G36" s="132" t="n"/>
      <c r="H36" s="89" t="n"/>
      <c r="I36" s="89" t="n"/>
      <c r="J36" s="89" t="n"/>
      <c r="K36" s="89" t="n"/>
      <c r="L36" s="89" t="n"/>
      <c r="M36" s="89" t="n"/>
      <c r="N36" s="89" t="n"/>
      <c r="O36" s="89" t="n"/>
      <c r="P36" s="89" t="n"/>
      <c r="Q36" s="89" t="n"/>
      <c r="R36" s="89" t="n"/>
      <c r="S36" s="89" t="n"/>
      <c r="T36" s="89" t="n"/>
      <c r="U36" s="89" t="n"/>
      <c r="V36" s="89" t="n"/>
      <c r="W36" s="89" t="n"/>
      <c r="X36" s="89" t="n"/>
      <c r="Y36" s="89" t="n"/>
      <c r="Z36" s="89" t="n"/>
      <c r="AA36" s="89" t="n"/>
      <c r="AB36" s="89" t="n"/>
      <c r="AC36" s="89" t="n"/>
      <c r="AD36" s="89" t="n"/>
      <c r="AE36" s="89" t="n"/>
      <c r="AF36" s="6" t="n"/>
      <c r="AG36" s="89" t="n"/>
    </row>
    <row r="37" ht="15.95" customHeight="1" s="130">
      <c r="A37" s="90" t="inlineStr">
        <is>
          <t>HSA423</t>
        </is>
      </c>
      <c r="B37" s="139">
        <f>底座!H23</f>
        <v/>
      </c>
      <c r="C37" s="140">
        <f>工作台!J13</f>
        <v/>
      </c>
      <c r="D37" s="133" t="n">
        <v>0</v>
      </c>
      <c r="E37" s="133" t="n"/>
      <c r="F37" s="133" t="n"/>
      <c r="G37" s="132" t="n"/>
      <c r="H37" s="89" t="n"/>
      <c r="I37" s="89" t="n"/>
      <c r="J37" s="89" t="n"/>
      <c r="K37" s="89" t="n"/>
      <c r="L37" s="89" t="n"/>
      <c r="M37" s="89" t="n"/>
      <c r="N37" s="89" t="n"/>
      <c r="O37" s="89" t="n"/>
      <c r="P37" s="89" t="n"/>
      <c r="Q37" s="89" t="n"/>
      <c r="R37" s="89" t="n"/>
      <c r="S37" s="89" t="n"/>
      <c r="T37" s="89" t="n"/>
      <c r="U37" s="89" t="n"/>
      <c r="V37" s="89" t="n"/>
      <c r="W37" s="89" t="n"/>
      <c r="X37" s="89" t="n"/>
      <c r="Y37" s="89" t="n"/>
      <c r="Z37" s="89" t="n"/>
      <c r="AA37" s="89" t="n"/>
      <c r="AB37" s="89" t="n"/>
      <c r="AC37" s="89" t="n"/>
      <c r="AD37" s="89" t="n"/>
      <c r="AE37" s="89" t="n"/>
      <c r="AF37" s="6" t="n"/>
      <c r="AG37" s="89" t="n"/>
    </row>
    <row r="38" ht="15.95" customHeight="1" s="130">
      <c r="A38" s="112" t="inlineStr">
        <is>
          <t>HAS-4265</t>
        </is>
      </c>
      <c r="B38" s="133" t="n"/>
      <c r="C38" s="133" t="n"/>
      <c r="D38" s="133" t="n"/>
      <c r="E38" s="133">
        <f>立柱!#REF!</f>
        <v/>
      </c>
      <c r="F38" s="133" t="n"/>
      <c r="G38" s="132" t="n"/>
      <c r="H38" s="89" t="n"/>
      <c r="I38" s="89" t="n"/>
      <c r="J38" s="89" t="n"/>
      <c r="K38" s="89" t="n"/>
      <c r="L38" s="89" t="n"/>
      <c r="M38" s="89" t="n"/>
      <c r="N38" s="89" t="n"/>
      <c r="O38" s="89" t="n"/>
      <c r="P38" s="89" t="n"/>
      <c r="Q38" s="89" t="n"/>
      <c r="R38" s="89" t="n"/>
      <c r="S38" s="89" t="n"/>
      <c r="T38" s="89" t="n"/>
      <c r="U38" s="89" t="n"/>
      <c r="V38" s="89" t="n"/>
      <c r="W38" s="89" t="n"/>
      <c r="X38" s="89" t="n"/>
      <c r="Y38" s="89" t="n"/>
      <c r="Z38" s="89" t="n"/>
      <c r="AA38" s="89" t="n"/>
      <c r="AB38" s="89" t="n"/>
      <c r="AC38" s="89" t="n"/>
      <c r="AD38" s="89" t="n"/>
      <c r="AE38" s="89" t="n"/>
      <c r="AF38" s="6" t="n"/>
      <c r="AG38" s="89" t="n"/>
    </row>
    <row r="39" ht="15.95" customHeight="1" s="130">
      <c r="A39" s="90" t="inlineStr">
        <is>
          <t>HSA427</t>
        </is>
      </c>
      <c r="B39" s="133">
        <f>底座!H25</f>
        <v/>
      </c>
      <c r="C39" s="133" t="n"/>
      <c r="D39" s="133" t="n">
        <v>0</v>
      </c>
      <c r="E39" s="133" t="n"/>
      <c r="F39" s="133" t="n"/>
      <c r="G39" s="132" t="n"/>
      <c r="H39" s="89" t="n"/>
      <c r="I39" s="89" t="n"/>
      <c r="J39" s="89" t="n"/>
      <c r="K39" s="89" t="n"/>
      <c r="L39" s="89" t="n"/>
      <c r="M39" s="89" t="n"/>
      <c r="N39" s="89" t="n"/>
      <c r="O39" s="89" t="n"/>
      <c r="P39" s="89" t="n"/>
      <c r="Q39" s="89" t="n"/>
      <c r="R39" s="89" t="n"/>
      <c r="S39" s="89" t="n"/>
      <c r="T39" s="89" t="n"/>
      <c r="U39" s="89" t="n"/>
      <c r="V39" s="89" t="n"/>
      <c r="W39" s="89" t="n"/>
      <c r="X39" s="89" t="n"/>
      <c r="Y39" s="89" t="n"/>
      <c r="Z39" s="89" t="n"/>
      <c r="AA39" s="89" t="n"/>
      <c r="AB39" s="89" t="n"/>
      <c r="AC39" s="89" t="n"/>
      <c r="AD39" s="89" t="n"/>
      <c r="AE39" s="89" t="n"/>
      <c r="AF39" s="6" t="n"/>
      <c r="AG39" s="89" t="n"/>
    </row>
    <row r="40" ht="15.95" customHeight="1" s="130">
      <c r="A40" s="112" t="inlineStr">
        <is>
          <t>HSA428</t>
        </is>
      </c>
      <c r="B40" s="133">
        <f>底座!H26</f>
        <v/>
      </c>
      <c r="C40" s="133">
        <f>工作台!J14</f>
        <v/>
      </c>
      <c r="D40" s="133" t="n">
        <v>0</v>
      </c>
      <c r="E40" s="133" t="n"/>
      <c r="F40" s="133" t="n"/>
      <c r="G40" s="132" t="n"/>
      <c r="H40" s="89" t="n"/>
      <c r="I40" s="89" t="n"/>
      <c r="J40" s="89" t="n"/>
      <c r="K40" s="89" t="n"/>
      <c r="L40" s="89" t="n"/>
      <c r="M40" s="89" t="n"/>
      <c r="N40" s="89" t="n"/>
      <c r="O40" s="89" t="n"/>
      <c r="P40" s="89" t="n"/>
      <c r="Q40" s="89" t="n"/>
      <c r="R40" s="89" t="n"/>
      <c r="S40" s="89" t="n"/>
      <c r="T40" s="89" t="n"/>
      <c r="U40" s="89" t="n"/>
      <c r="V40" s="89" t="n"/>
      <c r="W40" s="89" t="n"/>
      <c r="X40" s="89" t="n"/>
      <c r="Y40" s="89" t="n"/>
      <c r="Z40" s="89" t="n"/>
      <c r="AA40" s="89" t="n"/>
      <c r="AB40" s="89" t="n"/>
      <c r="AC40" s="89" t="n"/>
      <c r="AD40" s="89" t="n"/>
      <c r="AE40" s="89" t="n"/>
      <c r="AF40" s="6" t="n"/>
      <c r="AG40" s="89" t="n"/>
    </row>
    <row r="41" ht="15.95" customHeight="1" s="130">
      <c r="A41" s="112" t="inlineStr">
        <is>
          <t>HSA4320</t>
        </is>
      </c>
      <c r="B41" s="133">
        <f>底座!#REF!</f>
        <v/>
      </c>
      <c r="C41" s="133">
        <f>工作台!#REF!</f>
        <v/>
      </c>
      <c r="D41" s="133">
        <f>橫樑!#REF!</f>
        <v/>
      </c>
      <c r="E41" s="133" t="n"/>
      <c r="F41" s="133" t="n"/>
      <c r="G41" s="132" t="n"/>
      <c r="H41" s="89" t="n"/>
      <c r="I41" s="89" t="n"/>
      <c r="J41" s="89" t="n"/>
      <c r="K41" s="89" t="n"/>
      <c r="L41" s="89" t="n"/>
      <c r="M41" s="89" t="n"/>
      <c r="N41" s="89" t="n"/>
      <c r="O41" s="89" t="n"/>
      <c r="P41" s="89" t="n"/>
      <c r="Q41" s="89" t="n"/>
      <c r="R41" s="89" t="n"/>
      <c r="S41" s="89" t="n"/>
      <c r="T41" s="89" t="n"/>
      <c r="U41" s="89" t="n"/>
      <c r="V41" s="89" t="n"/>
      <c r="W41" s="89" t="n"/>
      <c r="X41" s="89" t="n"/>
      <c r="Y41" s="89" t="n"/>
      <c r="Z41" s="89" t="n"/>
      <c r="AA41" s="89" t="n"/>
      <c r="AB41" s="89" t="n"/>
      <c r="AC41" s="89" t="n"/>
      <c r="AD41" s="89" t="n"/>
      <c r="AE41" s="89" t="n"/>
      <c r="AF41" s="6" t="n"/>
      <c r="AG41" s="89" t="n"/>
    </row>
    <row r="42" ht="15.95" customHeight="1" s="130">
      <c r="A42" s="112" t="inlineStr">
        <is>
          <t>HSA436</t>
        </is>
      </c>
      <c r="B42" s="133">
        <f>底座!#REF!</f>
        <v/>
      </c>
      <c r="C42" s="133">
        <f>工作台!J15</f>
        <v/>
      </c>
      <c r="D42" s="133" t="n">
        <v>0</v>
      </c>
      <c r="E42" s="133" t="n"/>
      <c r="F42" s="133" t="n"/>
      <c r="G42" s="132" t="n"/>
      <c r="H42" s="89" t="n"/>
      <c r="I42" s="89" t="n"/>
      <c r="J42" s="89" t="n"/>
      <c r="K42" s="89" t="n"/>
      <c r="L42" s="89" t="n"/>
      <c r="M42" s="89" t="n"/>
      <c r="N42" s="89" t="n"/>
      <c r="O42" s="89" t="n"/>
      <c r="P42" s="89" t="n"/>
      <c r="Q42" s="89" t="n"/>
      <c r="R42" s="89" t="n"/>
      <c r="S42" s="89" t="n"/>
      <c r="T42" s="89" t="n"/>
      <c r="U42" s="89" t="n"/>
      <c r="V42" s="89" t="n"/>
      <c r="W42" s="89" t="n"/>
      <c r="X42" s="89" t="n"/>
      <c r="Y42" s="89" t="n"/>
      <c r="Z42" s="89" t="n"/>
      <c r="AA42" s="89" t="n"/>
      <c r="AB42" s="89" t="n"/>
      <c r="AC42" s="89" t="n"/>
      <c r="AD42" s="89" t="n"/>
      <c r="AE42" s="89" t="n"/>
      <c r="AF42" s="6" t="n"/>
      <c r="AG42" s="89" t="n"/>
    </row>
    <row r="43" ht="15.95" customHeight="1" s="130">
      <c r="A43" s="90" t="inlineStr">
        <is>
          <t>HSA-523</t>
        </is>
      </c>
      <c r="B43" s="133">
        <f>底座!H27</f>
        <v/>
      </c>
      <c r="C43" s="133">
        <f>工作台!J16</f>
        <v/>
      </c>
      <c r="D43" s="133" t="n">
        <v>0</v>
      </c>
      <c r="E43" s="133" t="n"/>
      <c r="F43" s="133" t="n"/>
      <c r="G43" s="132" t="n"/>
      <c r="H43" s="89" t="n"/>
      <c r="I43" s="89" t="n"/>
      <c r="J43" s="89" t="n"/>
      <c r="K43" s="89" t="n"/>
      <c r="L43" s="89" t="n"/>
      <c r="M43" s="89" t="n"/>
      <c r="N43" s="89" t="n"/>
      <c r="O43" s="89" t="n"/>
      <c r="P43" s="89" t="n"/>
      <c r="Q43" s="89" t="n"/>
      <c r="R43" s="89" t="n"/>
      <c r="S43" s="89" t="n"/>
      <c r="T43" s="89" t="n"/>
      <c r="U43" s="89" t="n"/>
      <c r="V43" s="89" t="n"/>
      <c r="W43" s="89" t="n"/>
      <c r="X43" s="89" t="n"/>
      <c r="Y43" s="89" t="n"/>
      <c r="Z43" s="89" t="n"/>
      <c r="AA43" s="89" t="n"/>
      <c r="AB43" s="89" t="n"/>
      <c r="AC43" s="89" t="n"/>
      <c r="AD43" s="89" t="n"/>
      <c r="AE43" s="89" t="n"/>
      <c r="AF43" s="6" t="n"/>
      <c r="AG43" s="89" t="n"/>
    </row>
    <row r="44" ht="15.95" customHeight="1" s="130">
      <c r="A44" s="90" t="inlineStr">
        <is>
          <t>HSA-527</t>
        </is>
      </c>
      <c r="B44" s="133">
        <f>底座!H28</f>
        <v/>
      </c>
      <c r="C44" s="133" t="n"/>
      <c r="D44" s="133" t="n"/>
      <c r="E44" s="133" t="n"/>
      <c r="F44" s="133" t="n"/>
      <c r="G44" s="132" t="n"/>
      <c r="H44" s="89" t="n"/>
      <c r="I44" s="89" t="n"/>
      <c r="J44" s="89" t="n"/>
      <c r="K44" s="89" t="n"/>
      <c r="L44" s="89" t="n"/>
      <c r="M44" s="89" t="n"/>
      <c r="N44" s="89" t="n"/>
      <c r="O44" s="89" t="n"/>
      <c r="P44" s="89" t="n"/>
      <c r="Q44" s="89" t="n"/>
      <c r="R44" s="89" t="n"/>
      <c r="S44" s="89" t="n"/>
      <c r="T44" s="89" t="n"/>
      <c r="U44" s="89" t="n"/>
      <c r="V44" s="89" t="n"/>
      <c r="W44" s="89" t="n"/>
      <c r="X44" s="89" t="n"/>
      <c r="Y44" s="89" t="n"/>
      <c r="Z44" s="89" t="n"/>
      <c r="AA44" s="89" t="n"/>
      <c r="AB44" s="89" t="n"/>
      <c r="AC44" s="89" t="n"/>
      <c r="AD44" s="89" t="n"/>
      <c r="AE44" s="89" t="n"/>
      <c r="AF44" s="6" t="n"/>
      <c r="AG44" s="89" t="n"/>
    </row>
    <row r="45" ht="15.95" customHeight="1" s="130">
      <c r="A45" s="112" t="inlineStr">
        <is>
          <t>HSA528</t>
        </is>
      </c>
      <c r="B45" s="133">
        <f>底座!H29</f>
        <v/>
      </c>
      <c r="C45" s="133">
        <f>工作台!J17</f>
        <v/>
      </c>
      <c r="D45" s="133" t="n">
        <v>0</v>
      </c>
      <c r="E45" s="133" t="n"/>
      <c r="F45" s="133" t="n"/>
      <c r="G45" s="132" t="n"/>
      <c r="H45" s="89" t="n"/>
      <c r="I45" s="89" t="n"/>
      <c r="J45" s="89" t="n"/>
      <c r="K45" s="89" t="n"/>
      <c r="L45" s="89" t="n"/>
      <c r="M45" s="89" t="n"/>
      <c r="N45" s="89" t="n"/>
      <c r="O45" s="89" t="n"/>
      <c r="P45" s="89" t="n"/>
      <c r="Q45" s="89" t="n"/>
      <c r="R45" s="89" t="n"/>
      <c r="S45" s="89" t="n"/>
      <c r="T45" s="89" t="n"/>
      <c r="U45" s="89" t="n"/>
      <c r="V45" s="89" t="n"/>
      <c r="W45" s="89" t="n"/>
      <c r="X45" s="89" t="n"/>
      <c r="Y45" s="89" t="n"/>
      <c r="Z45" s="89" t="n"/>
      <c r="AA45" s="89" t="n"/>
      <c r="AB45" s="89" t="n"/>
      <c r="AC45" s="89" t="n"/>
      <c r="AD45" s="89" t="n"/>
      <c r="AE45" s="89" t="n"/>
      <c r="AF45" s="6" t="n"/>
      <c r="AG45" s="89" t="n"/>
    </row>
    <row r="46" ht="15.95" customHeight="1" s="130">
      <c r="A46" s="112" t="inlineStr">
        <is>
          <t>HSA536</t>
        </is>
      </c>
      <c r="B46" s="139">
        <f>底座!H30</f>
        <v/>
      </c>
      <c r="C46" s="133">
        <f>工作台!J18</f>
        <v/>
      </c>
      <c r="D46" s="133" t="n">
        <v>0</v>
      </c>
      <c r="E46" s="133" t="n"/>
      <c r="F46" s="133" t="n"/>
      <c r="G46" s="132" t="n"/>
      <c r="H46" s="89" t="n"/>
      <c r="I46" s="89" t="n"/>
      <c r="J46" s="89" t="n"/>
      <c r="K46" s="89" t="n"/>
      <c r="L46" s="89" t="n"/>
      <c r="M46" s="89" t="n"/>
      <c r="N46" s="89" t="n"/>
      <c r="O46" s="89" t="n"/>
      <c r="P46" s="89" t="n"/>
      <c r="Q46" s="89" t="n"/>
      <c r="R46" s="89" t="n"/>
      <c r="S46" s="89" t="n"/>
      <c r="T46" s="89" t="n"/>
      <c r="U46" s="89" t="n"/>
      <c r="V46" s="89" t="n"/>
      <c r="W46" s="89" t="n"/>
      <c r="X46" s="89" t="n"/>
      <c r="Y46" s="89" t="n"/>
      <c r="Z46" s="89" t="n"/>
      <c r="AA46" s="89" t="n"/>
      <c r="AB46" s="89" t="n"/>
      <c r="AC46" s="89" t="n"/>
      <c r="AD46" s="89" t="n"/>
      <c r="AE46" s="89" t="n"/>
      <c r="AF46" s="6" t="n"/>
      <c r="AG46" s="89" t="n"/>
    </row>
    <row r="47" ht="15.95" customHeight="1" s="130">
      <c r="A47" s="90" t="inlineStr">
        <is>
          <t>HSA-623主底座</t>
        </is>
      </c>
      <c r="B47" s="133">
        <f>底座!H31</f>
        <v/>
      </c>
      <c r="C47" s="133">
        <f>工作台!J19</f>
        <v/>
      </c>
      <c r="D47" s="133" t="n">
        <v>0</v>
      </c>
      <c r="E47" s="133" t="n"/>
      <c r="F47" s="133" t="n"/>
      <c r="G47" s="132" t="n"/>
      <c r="H47" s="89" t="n"/>
      <c r="I47" s="89" t="n"/>
      <c r="J47" s="89" t="n"/>
      <c r="K47" s="89" t="n"/>
      <c r="L47" s="89" t="n"/>
      <c r="M47" s="89" t="n"/>
      <c r="N47" s="89" t="n"/>
      <c r="O47" s="89" t="n"/>
      <c r="P47" s="89" t="n"/>
      <c r="Q47" s="89" t="n"/>
      <c r="R47" s="89" t="n"/>
      <c r="S47" s="89" t="n"/>
      <c r="T47" s="89" t="n"/>
      <c r="U47" s="89" t="n"/>
      <c r="V47" s="89" t="n"/>
      <c r="W47" s="89" t="n"/>
      <c r="X47" s="89" t="n"/>
      <c r="Y47" s="89" t="n"/>
      <c r="Z47" s="89" t="n"/>
      <c r="AA47" s="89" t="n"/>
      <c r="AB47" s="89" t="n"/>
      <c r="AC47" s="89" t="n"/>
      <c r="AD47" s="89" t="n"/>
      <c r="AE47" s="89" t="n"/>
      <c r="AF47" s="6" t="n"/>
      <c r="AG47" s="89" t="n"/>
    </row>
    <row r="48" ht="15.95" customHeight="1" s="130">
      <c r="A48" s="90" t="inlineStr">
        <is>
          <t>HSA-623副底座</t>
        </is>
      </c>
      <c r="B48" s="133">
        <f>底座!H32</f>
        <v/>
      </c>
      <c r="C48" s="133" t="n"/>
      <c r="D48" s="133" t="n"/>
      <c r="E48" s="133" t="n"/>
      <c r="F48" s="133" t="n"/>
      <c r="G48" s="132" t="n"/>
      <c r="H48" s="89" t="n"/>
      <c r="I48" s="89" t="n"/>
      <c r="J48" s="89" t="n"/>
      <c r="K48" s="89" t="n"/>
      <c r="L48" s="89" t="n"/>
      <c r="M48" s="89" t="n"/>
      <c r="N48" s="89" t="n"/>
      <c r="O48" s="89" t="n"/>
      <c r="P48" s="89" t="n"/>
      <c r="Q48" s="89" t="n"/>
      <c r="R48" s="89" t="n"/>
      <c r="S48" s="89" t="n"/>
      <c r="T48" s="89" t="n"/>
      <c r="U48" s="89" t="n"/>
      <c r="V48" s="89" t="n"/>
      <c r="W48" s="89" t="n"/>
      <c r="X48" s="89" t="n"/>
      <c r="Y48" s="89" t="n"/>
      <c r="Z48" s="89" t="n"/>
      <c r="AA48" s="89" t="n"/>
      <c r="AB48" s="89" t="n"/>
      <c r="AC48" s="89" t="n"/>
      <c r="AD48" s="89" t="n"/>
      <c r="AE48" s="89" t="n"/>
      <c r="AF48" s="6" t="n"/>
      <c r="AG48" s="89" t="n"/>
    </row>
    <row r="49" ht="15.95" customHeight="1" s="130">
      <c r="A49" s="112" t="inlineStr">
        <is>
          <t>HSA-627主底座</t>
        </is>
      </c>
      <c r="B49" s="133">
        <f>底座!H33</f>
        <v/>
      </c>
      <c r="C49" s="133" t="n"/>
      <c r="D49" s="133" t="n"/>
      <c r="E49" s="133" t="n"/>
      <c r="F49" s="133" t="n"/>
      <c r="G49" s="132" t="n"/>
      <c r="H49" s="89" t="n"/>
      <c r="I49" s="89" t="n"/>
      <c r="J49" s="89" t="n"/>
      <c r="K49" s="89" t="n"/>
      <c r="L49" s="89" t="n"/>
      <c r="M49" s="89" t="n"/>
      <c r="N49" s="89" t="n"/>
      <c r="O49" s="89" t="n"/>
      <c r="P49" s="89" t="n"/>
      <c r="Q49" s="89" t="n"/>
      <c r="R49" s="89" t="n"/>
      <c r="S49" s="89" t="n"/>
      <c r="T49" s="89" t="n"/>
      <c r="U49" s="89" t="n"/>
      <c r="V49" s="89" t="n"/>
      <c r="W49" s="89" t="n"/>
      <c r="X49" s="89" t="n"/>
      <c r="Y49" s="89" t="n"/>
      <c r="Z49" s="89" t="n"/>
      <c r="AA49" s="89" t="n"/>
      <c r="AB49" s="89" t="n"/>
      <c r="AC49" s="89" t="n"/>
      <c r="AD49" s="89" t="n"/>
      <c r="AE49" s="89" t="n"/>
      <c r="AF49" s="6" t="n"/>
      <c r="AG49" s="89" t="n"/>
    </row>
    <row r="50" ht="15.95" customHeight="1" s="130">
      <c r="A50" s="112" t="inlineStr">
        <is>
          <t>HSA-627副底座</t>
        </is>
      </c>
      <c r="B50" s="133">
        <f>底座!H34</f>
        <v/>
      </c>
      <c r="C50" s="133" t="n"/>
      <c r="D50" s="133" t="n"/>
      <c r="E50" s="133" t="n"/>
      <c r="F50" s="133" t="n"/>
      <c r="G50" s="132" t="n"/>
      <c r="H50" s="89" t="n"/>
      <c r="I50" s="89" t="n"/>
      <c r="J50" s="89" t="n"/>
      <c r="K50" s="89" t="n"/>
      <c r="L50" s="89" t="n"/>
      <c r="M50" s="89" t="n"/>
      <c r="N50" s="89" t="n"/>
      <c r="O50" s="89" t="n"/>
      <c r="P50" s="89" t="n"/>
      <c r="Q50" s="89" t="n"/>
      <c r="R50" s="89" t="n"/>
      <c r="S50" s="89" t="n"/>
      <c r="T50" s="89" t="n"/>
      <c r="U50" s="89" t="n"/>
      <c r="V50" s="89" t="n"/>
      <c r="W50" s="89" t="n"/>
      <c r="X50" s="89" t="n"/>
      <c r="Y50" s="89" t="n"/>
      <c r="Z50" s="89" t="n"/>
      <c r="AA50" s="89" t="n"/>
      <c r="AB50" s="89" t="n"/>
      <c r="AC50" s="89" t="n"/>
      <c r="AD50" s="89" t="n"/>
      <c r="AE50" s="89" t="n"/>
      <c r="AF50" s="6" t="n"/>
      <c r="AG50" s="89" t="n"/>
    </row>
    <row r="51" ht="15.95" customHeight="1" s="130">
      <c r="A51" s="112" t="inlineStr">
        <is>
          <t>HSA-628主底座</t>
        </is>
      </c>
      <c r="B51" s="133">
        <f>底座!H35</f>
        <v/>
      </c>
      <c r="C51" s="133">
        <f>工作台!J20</f>
        <v/>
      </c>
      <c r="D51" s="133" t="n">
        <v>0</v>
      </c>
      <c r="E51" s="133" t="n"/>
      <c r="F51" s="133" t="n"/>
      <c r="G51" s="132" t="n"/>
      <c r="H51" s="89" t="n"/>
      <c r="I51" s="89" t="n"/>
      <c r="J51" s="89" t="n"/>
      <c r="K51" s="89" t="n"/>
      <c r="L51" s="89" t="n"/>
      <c r="M51" s="89" t="n"/>
      <c r="N51" s="89" t="n"/>
      <c r="O51" s="89" t="n"/>
      <c r="P51" s="89" t="n"/>
      <c r="Q51" s="89" t="n"/>
      <c r="R51" s="89" t="n"/>
      <c r="S51" s="89" t="n"/>
      <c r="T51" s="89" t="n"/>
      <c r="U51" s="89" t="n"/>
      <c r="V51" s="89" t="n"/>
      <c r="W51" s="89" t="n"/>
      <c r="X51" s="89" t="n"/>
      <c r="Y51" s="89" t="n"/>
      <c r="Z51" s="89" t="n"/>
      <c r="AA51" s="89" t="n"/>
      <c r="AB51" s="89" t="n"/>
      <c r="AC51" s="89" t="n"/>
      <c r="AD51" s="89" t="n"/>
      <c r="AE51" s="89" t="n"/>
      <c r="AF51" s="6" t="n"/>
      <c r="AG51" s="89" t="n"/>
    </row>
    <row r="52" ht="15.95" customHeight="1" s="130">
      <c r="A52" s="112" t="inlineStr">
        <is>
          <t>HSA-628副底座</t>
        </is>
      </c>
      <c r="B52" s="133">
        <f>底座!H36</f>
        <v/>
      </c>
      <c r="C52" s="133" t="n"/>
      <c r="D52" s="133" t="n">
        <v>0</v>
      </c>
      <c r="E52" s="133" t="n"/>
      <c r="F52" s="133" t="n"/>
      <c r="G52" s="132" t="n"/>
      <c r="H52" s="89" t="n"/>
      <c r="I52" s="89" t="n"/>
      <c r="J52" s="89" t="n"/>
      <c r="K52" s="89" t="n"/>
      <c r="L52" s="89" t="n"/>
      <c r="M52" s="89" t="n"/>
      <c r="N52" s="89" t="n"/>
      <c r="O52" s="89" t="n"/>
      <c r="P52" s="89" t="n"/>
      <c r="Q52" s="89" t="n"/>
      <c r="R52" s="89" t="n"/>
      <c r="S52" s="89" t="n"/>
      <c r="T52" s="89" t="n"/>
      <c r="U52" s="89" t="n"/>
      <c r="V52" s="89" t="n"/>
      <c r="W52" s="89" t="n"/>
      <c r="X52" s="89" t="n"/>
      <c r="Y52" s="89" t="n"/>
      <c r="Z52" s="89" t="n"/>
      <c r="AA52" s="89" t="n"/>
      <c r="AB52" s="89" t="n"/>
      <c r="AC52" s="89" t="n"/>
      <c r="AD52" s="89" t="n"/>
      <c r="AE52" s="89" t="n"/>
      <c r="AF52" s="6" t="n"/>
      <c r="AG52" s="89" t="n"/>
    </row>
    <row r="53" ht="15.95" customHeight="1" s="130">
      <c r="A53" s="112" t="inlineStr">
        <is>
          <t>HSA-636主底座</t>
        </is>
      </c>
      <c r="B53" s="133">
        <f>底座!H37</f>
        <v/>
      </c>
      <c r="C53" s="133" t="n"/>
      <c r="D53" s="133" t="n"/>
      <c r="E53" s="133" t="n"/>
      <c r="F53" s="133" t="n"/>
      <c r="G53" s="132" t="n"/>
      <c r="H53" s="89" t="n"/>
      <c r="I53" s="89" t="n"/>
      <c r="J53" s="89" t="n"/>
      <c r="K53" s="89" t="n"/>
      <c r="L53" s="89" t="n"/>
      <c r="M53" s="89" t="n"/>
      <c r="N53" s="89" t="n"/>
      <c r="O53" s="89" t="n"/>
      <c r="P53" s="89" t="n"/>
      <c r="Q53" s="89" t="n"/>
      <c r="R53" s="89" t="n"/>
      <c r="S53" s="89" t="n"/>
      <c r="T53" s="89" t="n"/>
      <c r="U53" s="89" t="n"/>
      <c r="V53" s="89" t="n"/>
      <c r="W53" s="89" t="n"/>
      <c r="X53" s="89" t="n"/>
      <c r="Y53" s="89" t="n"/>
      <c r="Z53" s="89" t="n"/>
      <c r="AA53" s="89" t="n"/>
      <c r="AB53" s="89" t="n"/>
      <c r="AC53" s="89" t="n"/>
      <c r="AD53" s="89" t="n"/>
      <c r="AE53" s="89" t="n"/>
      <c r="AF53" s="6" t="n"/>
      <c r="AG53" s="89" t="n"/>
    </row>
    <row r="54" ht="15.95" customHeight="1" s="130">
      <c r="A54" s="112" t="inlineStr">
        <is>
          <t>HSA-636副底座</t>
        </is>
      </c>
      <c r="B54" s="133">
        <f>底座!H38</f>
        <v/>
      </c>
      <c r="C54" s="133" t="n"/>
      <c r="D54" s="133" t="n"/>
      <c r="E54" s="133" t="n"/>
      <c r="F54" s="133" t="n"/>
      <c r="G54" s="132" t="n"/>
      <c r="H54" s="89" t="n"/>
      <c r="I54" s="89" t="n"/>
      <c r="J54" s="89" t="n"/>
      <c r="K54" s="89" t="n"/>
      <c r="L54" s="89" t="n"/>
      <c r="M54" s="89" t="n"/>
      <c r="N54" s="89" t="n"/>
      <c r="O54" s="89" t="n"/>
      <c r="P54" s="89" t="n"/>
      <c r="Q54" s="89" t="n"/>
      <c r="R54" s="89" t="n"/>
      <c r="S54" s="89" t="n"/>
      <c r="T54" s="89" t="n"/>
      <c r="U54" s="89" t="n"/>
      <c r="V54" s="89" t="n"/>
      <c r="W54" s="89" t="n"/>
      <c r="X54" s="89" t="n"/>
      <c r="Y54" s="89" t="n"/>
      <c r="Z54" s="89" t="n"/>
      <c r="AA54" s="89" t="n"/>
      <c r="AB54" s="89" t="n"/>
      <c r="AC54" s="89" t="n"/>
      <c r="AD54" s="89" t="n"/>
      <c r="AE54" s="89" t="n"/>
      <c r="AF54" s="6" t="n"/>
      <c r="AG54" s="89" t="n"/>
    </row>
    <row r="55" ht="15.95" customHeight="1" s="130">
      <c r="A55" s="112" t="inlineStr">
        <is>
          <t>HSA-636</t>
        </is>
      </c>
      <c r="B55" s="139">
        <f>底座!#REF!</f>
        <v/>
      </c>
      <c r="C55" s="133">
        <f>工作台!J21</f>
        <v/>
      </c>
      <c r="D55" s="133" t="n">
        <v>0</v>
      </c>
      <c r="E55" s="133" t="n"/>
      <c r="F55" s="133" t="n"/>
      <c r="G55" s="132" t="n"/>
      <c r="H55" s="89" t="n"/>
      <c r="I55" s="89" t="n"/>
      <c r="J55" s="89" t="n"/>
      <c r="K55" s="89" t="n"/>
      <c r="L55" s="89" t="n"/>
      <c r="M55" s="89" t="n"/>
      <c r="N55" s="89" t="n"/>
      <c r="O55" s="89" t="n"/>
      <c r="P55" s="89" t="n"/>
      <c r="Q55" s="89" t="n"/>
      <c r="R55" s="89" t="n"/>
      <c r="S55" s="89" t="n"/>
      <c r="T55" s="89" t="n"/>
      <c r="U55" s="89" t="n"/>
      <c r="V55" s="89" t="n"/>
      <c r="W55" s="89" t="n"/>
      <c r="X55" s="89" t="n"/>
      <c r="Y55" s="89" t="n"/>
      <c r="Z55" s="89" t="n"/>
      <c r="AA55" s="89" t="n"/>
      <c r="AB55" s="89" t="n"/>
      <c r="AC55" s="89" t="n"/>
      <c r="AD55" s="89" t="n"/>
      <c r="AE55" s="89" t="n"/>
      <c r="AF55" s="6" t="n"/>
      <c r="AG55" s="89" t="n"/>
    </row>
    <row r="56" ht="15.95" customHeight="1" s="130">
      <c r="A56" s="90" t="inlineStr">
        <is>
          <t>HSA-728</t>
        </is>
      </c>
      <c r="B56" s="133" t="n">
        <v>0</v>
      </c>
      <c r="C56" s="133">
        <f>工作台!J22</f>
        <v/>
      </c>
      <c r="D56" s="133" t="n">
        <v>0</v>
      </c>
      <c r="E56" s="133" t="n"/>
      <c r="F56" s="133" t="n"/>
      <c r="G56" s="132" t="n"/>
      <c r="H56" s="89" t="n"/>
      <c r="I56" s="89" t="n"/>
      <c r="J56" s="89" t="n"/>
      <c r="K56" s="89" t="n"/>
      <c r="L56" s="89" t="n"/>
      <c r="M56" s="89" t="n"/>
      <c r="N56" s="89" t="n"/>
      <c r="O56" s="89" t="n"/>
      <c r="P56" s="89" t="n"/>
      <c r="Q56" s="89" t="n"/>
      <c r="R56" s="89" t="n"/>
      <c r="S56" s="89" t="n"/>
      <c r="T56" s="89" t="n"/>
      <c r="U56" s="89" t="n"/>
      <c r="V56" s="89" t="n"/>
      <c r="W56" s="89" t="n"/>
      <c r="X56" s="89" t="n"/>
      <c r="Y56" s="89" t="n"/>
      <c r="Z56" s="89" t="n"/>
      <c r="AA56" s="89" t="n"/>
      <c r="AB56" s="89" t="n"/>
      <c r="AC56" s="89" t="n"/>
      <c r="AD56" s="89" t="n"/>
      <c r="AE56" s="89" t="n"/>
      <c r="AF56" s="6" t="n"/>
      <c r="AG56" s="89" t="n"/>
    </row>
    <row r="57" ht="15.95" customHeight="1" s="130">
      <c r="A57" s="90" t="inlineStr">
        <is>
          <t>HSA-728主底座</t>
        </is>
      </c>
      <c r="B57" s="133">
        <f>底座!H39</f>
        <v/>
      </c>
      <c r="C57" s="133" t="n"/>
      <c r="D57" s="133" t="n"/>
      <c r="E57" s="133" t="n"/>
      <c r="F57" s="133" t="n"/>
      <c r="G57" s="132" t="n"/>
      <c r="H57" s="89" t="n"/>
      <c r="I57" s="89" t="n"/>
      <c r="J57" s="89" t="n"/>
      <c r="K57" s="89" t="n"/>
      <c r="L57" s="89" t="n"/>
      <c r="M57" s="89" t="n"/>
      <c r="N57" s="89" t="n"/>
      <c r="O57" s="89" t="n"/>
      <c r="P57" s="89" t="n"/>
      <c r="Q57" s="89" t="n"/>
      <c r="R57" s="89" t="n"/>
      <c r="S57" s="89" t="n"/>
      <c r="T57" s="89" t="n"/>
      <c r="U57" s="89" t="n"/>
      <c r="V57" s="89" t="n"/>
      <c r="W57" s="89" t="n"/>
      <c r="X57" s="89" t="n"/>
      <c r="Y57" s="89" t="n"/>
      <c r="Z57" s="89" t="n"/>
      <c r="AA57" s="89" t="n"/>
      <c r="AB57" s="89" t="n"/>
      <c r="AC57" s="89" t="n"/>
      <c r="AD57" s="89" t="n"/>
      <c r="AE57" s="89" t="n"/>
      <c r="AF57" s="6" t="n"/>
      <c r="AG57" s="89" t="n"/>
    </row>
    <row r="58" ht="15.95" customHeight="1" s="130">
      <c r="A58" s="90" t="inlineStr">
        <is>
          <t>HSA-728副底座</t>
        </is>
      </c>
      <c r="B58" s="133">
        <f>底座!H40</f>
        <v/>
      </c>
      <c r="C58" s="133" t="n"/>
      <c r="D58" s="133" t="n"/>
      <c r="E58" s="133" t="n"/>
      <c r="F58" s="133" t="n"/>
      <c r="G58" s="132" t="n"/>
      <c r="H58" s="89" t="n"/>
      <c r="I58" s="89" t="n"/>
      <c r="J58" s="89" t="n"/>
      <c r="K58" s="89" t="n"/>
      <c r="L58" s="89" t="n"/>
      <c r="M58" s="89" t="n"/>
      <c r="N58" s="89" t="n"/>
      <c r="O58" s="89" t="n"/>
      <c r="P58" s="89" t="n"/>
      <c r="Q58" s="89" t="n"/>
      <c r="R58" s="89" t="n"/>
      <c r="S58" s="89" t="n"/>
      <c r="T58" s="89" t="n"/>
      <c r="U58" s="89" t="n"/>
      <c r="V58" s="89" t="n"/>
      <c r="W58" s="89" t="n"/>
      <c r="X58" s="89" t="n"/>
      <c r="Y58" s="89" t="n"/>
      <c r="Z58" s="89" t="n"/>
      <c r="AA58" s="89" t="n"/>
      <c r="AB58" s="89" t="n"/>
      <c r="AC58" s="89" t="n"/>
      <c r="AD58" s="89" t="n"/>
      <c r="AE58" s="89" t="n"/>
      <c r="AF58" s="6" t="n"/>
      <c r="AG58" s="89" t="n"/>
    </row>
    <row r="59" ht="15.95" customHeight="1" s="130">
      <c r="A59" s="90" t="inlineStr">
        <is>
          <t>HSA-736</t>
        </is>
      </c>
      <c r="B59" s="133" t="n"/>
      <c r="C59" s="133">
        <f>工作台!J23</f>
        <v/>
      </c>
      <c r="D59" s="133" t="n"/>
      <c r="E59" s="133" t="n"/>
      <c r="F59" s="133" t="n"/>
      <c r="G59" s="132" t="n"/>
      <c r="H59" s="89" t="n"/>
      <c r="I59" s="89" t="n"/>
      <c r="J59" s="89" t="n"/>
      <c r="K59" s="89" t="n"/>
      <c r="L59" s="89" t="n"/>
      <c r="M59" s="89" t="n"/>
      <c r="N59" s="89" t="n"/>
      <c r="O59" s="89" t="n"/>
      <c r="P59" s="89" t="n"/>
      <c r="Q59" s="89" t="n"/>
      <c r="R59" s="89" t="n"/>
      <c r="S59" s="89" t="n"/>
      <c r="T59" s="89" t="n"/>
      <c r="U59" s="89" t="n"/>
      <c r="V59" s="89" t="n"/>
      <c r="W59" s="89" t="n"/>
      <c r="X59" s="89" t="n"/>
      <c r="Y59" s="89" t="n"/>
      <c r="Z59" s="89" t="n"/>
      <c r="AA59" s="89" t="n"/>
      <c r="AB59" s="89" t="n"/>
      <c r="AC59" s="89" t="n"/>
      <c r="AD59" s="89" t="n"/>
      <c r="AE59" s="89" t="n"/>
      <c r="AF59" s="6" t="n"/>
      <c r="AG59" s="89" t="n"/>
    </row>
    <row r="60" ht="15.95" customHeight="1" s="130">
      <c r="A60" s="112" t="inlineStr">
        <is>
          <t>HSA-736主底座</t>
        </is>
      </c>
      <c r="B60" s="133">
        <f>底座!H41</f>
        <v/>
      </c>
      <c r="C60" s="133" t="n"/>
      <c r="D60" s="133" t="n"/>
      <c r="E60" s="133" t="n"/>
      <c r="F60" s="133" t="n"/>
      <c r="G60" s="132" t="n"/>
      <c r="H60" s="89" t="n"/>
      <c r="I60" s="89" t="n"/>
      <c r="J60" s="89" t="n"/>
      <c r="K60" s="89" t="n"/>
      <c r="L60" s="89" t="n"/>
      <c r="M60" s="89" t="n"/>
      <c r="N60" s="89" t="n"/>
      <c r="O60" s="89" t="n"/>
      <c r="P60" s="89" t="n"/>
      <c r="Q60" s="89" t="n"/>
      <c r="R60" s="89" t="n"/>
      <c r="S60" s="89" t="n"/>
      <c r="T60" s="89" t="n"/>
      <c r="U60" s="89" t="n"/>
      <c r="V60" s="89" t="n"/>
      <c r="W60" s="89" t="n"/>
      <c r="X60" s="89" t="n"/>
      <c r="Y60" s="89" t="n"/>
      <c r="Z60" s="89" t="n"/>
      <c r="AA60" s="89" t="n"/>
      <c r="AB60" s="89" t="n"/>
      <c r="AC60" s="89" t="n"/>
      <c r="AD60" s="89" t="n"/>
      <c r="AE60" s="89" t="n"/>
      <c r="AF60" s="6" t="n"/>
      <c r="AG60" s="89" t="n"/>
    </row>
    <row r="61" ht="15.95" customHeight="1" s="130">
      <c r="A61" s="112" t="inlineStr">
        <is>
          <t>HSA-736副底座</t>
        </is>
      </c>
      <c r="B61" s="133">
        <f>底座!H42</f>
        <v/>
      </c>
      <c r="C61" s="133" t="n"/>
      <c r="D61" s="133" t="n"/>
      <c r="E61" s="133" t="n"/>
      <c r="F61" s="133" t="n"/>
      <c r="G61" s="132" t="n"/>
      <c r="H61" s="89" t="n"/>
      <c r="I61" s="89" t="n"/>
      <c r="J61" s="89" t="n"/>
      <c r="K61" s="89" t="n"/>
      <c r="L61" s="89" t="n"/>
      <c r="M61" s="89" t="n"/>
      <c r="N61" s="89" t="n"/>
      <c r="O61" s="89" t="n"/>
      <c r="P61" s="89" t="n"/>
      <c r="Q61" s="89" t="n"/>
      <c r="R61" s="89" t="n"/>
      <c r="S61" s="89" t="n"/>
      <c r="T61" s="89" t="n"/>
      <c r="U61" s="89" t="n"/>
      <c r="V61" s="89" t="n"/>
      <c r="W61" s="89" t="n"/>
      <c r="X61" s="89" t="n"/>
      <c r="Y61" s="89" t="n"/>
      <c r="Z61" s="89" t="n"/>
      <c r="AA61" s="89" t="n"/>
      <c r="AB61" s="89" t="n"/>
      <c r="AC61" s="89" t="n"/>
      <c r="AD61" s="89" t="n"/>
      <c r="AE61" s="89" t="n"/>
      <c r="AF61" s="6" t="n"/>
      <c r="AG61" s="89" t="n"/>
    </row>
    <row r="62" ht="15.95" customHeight="1" s="130">
      <c r="A62" s="90" t="inlineStr">
        <is>
          <t>HSA-X20</t>
        </is>
      </c>
      <c r="B62" s="133" t="n"/>
      <c r="C62" s="133" t="n"/>
      <c r="D62" s="133">
        <f>橫樑!I6</f>
        <v/>
      </c>
      <c r="E62" s="133" t="n"/>
      <c r="F62" s="133" t="n"/>
      <c r="G62" s="132" t="n"/>
      <c r="H62" s="89" t="n"/>
      <c r="I62" s="89" t="n"/>
      <c r="J62" s="89" t="n"/>
      <c r="K62" s="89" t="n"/>
      <c r="L62" s="89" t="n"/>
      <c r="M62" s="89" t="n"/>
      <c r="N62" s="89" t="n"/>
      <c r="O62" s="89" t="n"/>
      <c r="P62" s="89" t="n"/>
      <c r="Q62" s="89" t="n"/>
      <c r="R62" s="89" t="n"/>
      <c r="S62" s="89" t="n"/>
      <c r="T62" s="89" t="n"/>
      <c r="U62" s="89" t="n"/>
      <c r="V62" s="89" t="n"/>
      <c r="W62" s="89" t="n"/>
      <c r="X62" s="89" t="n"/>
      <c r="Y62" s="89" t="n"/>
      <c r="Z62" s="89" t="n"/>
      <c r="AA62" s="89" t="n"/>
      <c r="AB62" s="89" t="n"/>
      <c r="AC62" s="89" t="n"/>
      <c r="AD62" s="89" t="n"/>
      <c r="AE62" s="89" t="n"/>
      <c r="AF62" s="6" t="n"/>
      <c r="AG62" s="89" t="n"/>
    </row>
    <row r="63" ht="15.95" customHeight="1" s="130">
      <c r="A63" s="112" t="inlineStr">
        <is>
          <t>HSA-X20EAY</t>
        </is>
      </c>
      <c r="B63" s="133" t="n"/>
      <c r="C63" s="133" t="n"/>
      <c r="D63" s="133">
        <f>橫樑!I7</f>
        <v/>
      </c>
      <c r="E63" s="133" t="n"/>
      <c r="F63" s="133" t="n"/>
      <c r="G63" s="132" t="n"/>
      <c r="H63" s="89" t="n"/>
      <c r="I63" s="89" t="n"/>
      <c r="J63" s="89" t="n"/>
      <c r="K63" s="89" t="n"/>
      <c r="L63" s="89" t="n"/>
      <c r="M63" s="89" t="n"/>
      <c r="N63" s="89" t="n"/>
      <c r="O63" s="89" t="n"/>
      <c r="P63" s="89" t="n"/>
      <c r="Q63" s="89" t="n"/>
      <c r="R63" s="89" t="n"/>
      <c r="S63" s="89" t="n"/>
      <c r="T63" s="89" t="n"/>
      <c r="U63" s="89" t="n"/>
      <c r="V63" s="89" t="n"/>
      <c r="W63" s="89" t="n"/>
      <c r="X63" s="89" t="n"/>
      <c r="Y63" s="89" t="n"/>
      <c r="Z63" s="89" t="n"/>
      <c r="AA63" s="89" t="n"/>
      <c r="AB63" s="89" t="n"/>
      <c r="AC63" s="89" t="n"/>
      <c r="AD63" s="89" t="n"/>
      <c r="AE63" s="89" t="n"/>
      <c r="AF63" s="6" t="n"/>
      <c r="AG63" s="89" t="n"/>
    </row>
    <row r="64" ht="15.95" customHeight="1" s="130">
      <c r="A64" s="90" t="inlineStr">
        <is>
          <t>HSA-X23</t>
        </is>
      </c>
      <c r="B64" s="133" t="n"/>
      <c r="C64" s="133" t="n"/>
      <c r="D64" s="133">
        <f>橫樑!I8</f>
        <v/>
      </c>
      <c r="E64" s="133" t="n"/>
      <c r="F64" s="133" t="n"/>
      <c r="G64" s="132" t="n"/>
      <c r="H64" s="89" t="n"/>
      <c r="I64" s="89" t="n"/>
      <c r="J64" s="89" t="n"/>
      <c r="K64" s="89" t="n"/>
      <c r="L64" s="89" t="n"/>
      <c r="M64" s="89" t="n"/>
      <c r="N64" s="89" t="n"/>
      <c r="O64" s="89" t="n"/>
      <c r="P64" s="89" t="n"/>
      <c r="Q64" s="89" t="n"/>
      <c r="R64" s="89" t="n"/>
      <c r="S64" s="89" t="n"/>
      <c r="T64" s="89" t="n"/>
      <c r="U64" s="89" t="n"/>
      <c r="V64" s="89" t="n"/>
      <c r="W64" s="89" t="n"/>
      <c r="X64" s="89" t="n"/>
      <c r="Y64" s="89" t="n"/>
      <c r="Z64" s="89" t="n"/>
      <c r="AA64" s="89" t="n"/>
      <c r="AB64" s="89" t="n"/>
      <c r="AC64" s="89" t="n"/>
      <c r="AD64" s="89" t="n"/>
      <c r="AE64" s="89" t="n"/>
      <c r="AF64" s="6" t="n"/>
      <c r="AG64" s="89" t="n"/>
    </row>
    <row r="65" ht="15.95" customHeight="1" s="130">
      <c r="A65" s="90" t="inlineStr">
        <is>
          <t>HSA-X23EAY</t>
        </is>
      </c>
      <c r="B65" s="133" t="n"/>
      <c r="C65" s="133" t="n"/>
      <c r="D65" s="133">
        <f>橫樑!I9</f>
        <v/>
      </c>
      <c r="E65" s="133" t="n"/>
      <c r="F65" s="133" t="n"/>
      <c r="G65" s="132" t="n"/>
      <c r="H65" s="89" t="n"/>
      <c r="I65" s="89" t="n"/>
      <c r="J65" s="89" t="n"/>
      <c r="K65" s="89" t="n"/>
      <c r="L65" s="89" t="n"/>
      <c r="M65" s="89" t="n"/>
      <c r="N65" s="89" t="n"/>
      <c r="O65" s="89" t="n"/>
      <c r="P65" s="89" t="n"/>
      <c r="Q65" s="89" t="n"/>
      <c r="R65" s="89" t="n"/>
      <c r="S65" s="89" t="n"/>
      <c r="T65" s="89" t="n"/>
      <c r="U65" s="89" t="n"/>
      <c r="V65" s="89" t="n"/>
      <c r="W65" s="89" t="n"/>
      <c r="X65" s="89" t="n"/>
      <c r="Y65" s="89" t="n"/>
      <c r="Z65" s="89" t="n"/>
      <c r="AA65" s="89" t="n"/>
      <c r="AB65" s="89" t="n"/>
      <c r="AC65" s="89" t="n"/>
      <c r="AD65" s="89" t="n"/>
      <c r="AE65" s="89" t="n"/>
      <c r="AF65" s="6" t="n"/>
      <c r="AG65" s="89" t="n"/>
    </row>
    <row r="66" ht="15.95" customHeight="1" s="130">
      <c r="A66" s="90" t="inlineStr">
        <is>
          <t>HSA-X27</t>
        </is>
      </c>
      <c r="B66" s="133" t="n"/>
      <c r="C66" s="133" t="n"/>
      <c r="D66" s="133">
        <f>橫樑!I10</f>
        <v/>
      </c>
      <c r="E66" s="133" t="n"/>
      <c r="F66" s="133" t="n"/>
      <c r="G66" s="132" t="n"/>
      <c r="H66" s="89" t="n"/>
      <c r="I66" s="89" t="n"/>
      <c r="J66" s="89" t="n"/>
      <c r="K66" s="89" t="n"/>
      <c r="L66" s="89" t="n"/>
      <c r="M66" s="89" t="n"/>
      <c r="N66" s="89" t="n"/>
      <c r="O66" s="89" t="n"/>
      <c r="P66" s="89" t="n"/>
      <c r="Q66" s="89" t="n"/>
      <c r="R66" s="89" t="n"/>
      <c r="S66" s="89" t="n"/>
      <c r="T66" s="89" t="n"/>
      <c r="U66" s="89" t="n"/>
      <c r="V66" s="89" t="n"/>
      <c r="W66" s="89" t="n"/>
      <c r="X66" s="89" t="n"/>
      <c r="Y66" s="89" t="n"/>
      <c r="Z66" s="89" t="n"/>
      <c r="AA66" s="89" t="n"/>
      <c r="AB66" s="89" t="n"/>
      <c r="AC66" s="89" t="n"/>
      <c r="AD66" s="89" t="n"/>
      <c r="AE66" s="89" t="n"/>
      <c r="AF66" s="6" t="n"/>
      <c r="AG66" s="89" t="n"/>
    </row>
    <row r="67" ht="15.95" customHeight="1" s="130">
      <c r="A67" s="90" t="inlineStr">
        <is>
          <t>HSA-X27EAY</t>
        </is>
      </c>
      <c r="B67" s="133" t="n"/>
      <c r="C67" s="133" t="n"/>
      <c r="D67" s="133">
        <f>橫樑!I11</f>
        <v/>
      </c>
      <c r="E67" s="133" t="n"/>
      <c r="F67" s="133" t="n"/>
      <c r="G67" s="132" t="n"/>
      <c r="H67" s="89" t="n"/>
      <c r="I67" s="89" t="n"/>
      <c r="J67" s="89" t="n"/>
      <c r="K67" s="89" t="n"/>
      <c r="L67" s="89" t="n"/>
      <c r="M67" s="89" t="n"/>
      <c r="N67" s="89" t="n"/>
      <c r="O67" s="89" t="n"/>
      <c r="P67" s="89" t="n"/>
      <c r="Q67" s="89" t="n"/>
      <c r="R67" s="89" t="n"/>
      <c r="S67" s="89" t="n"/>
      <c r="T67" s="89" t="n"/>
      <c r="U67" s="89" t="n"/>
      <c r="V67" s="89" t="n"/>
      <c r="W67" s="89" t="n"/>
      <c r="X67" s="89" t="n"/>
      <c r="Y67" s="89" t="n"/>
      <c r="Z67" s="89" t="n"/>
      <c r="AA67" s="89" t="n"/>
      <c r="AB67" s="89" t="n"/>
      <c r="AC67" s="89" t="n"/>
      <c r="AD67" s="89" t="n"/>
      <c r="AE67" s="89" t="n"/>
      <c r="AF67" s="6" t="n"/>
      <c r="AG67" s="89" t="n"/>
    </row>
    <row r="68" ht="15.95" customHeight="1" s="130">
      <c r="A68" s="112" t="inlineStr">
        <is>
          <t>HSA-X32</t>
        </is>
      </c>
      <c r="B68" s="133" t="n"/>
      <c r="C68" s="133" t="n"/>
      <c r="D68" s="133">
        <f>橫樑!I12</f>
        <v/>
      </c>
      <c r="E68" s="133" t="n"/>
      <c r="F68" s="133" t="n"/>
      <c r="G68" s="132" t="n"/>
      <c r="H68" s="89" t="n"/>
      <c r="I68" s="89" t="n"/>
      <c r="J68" s="89" t="n"/>
      <c r="K68" s="89" t="n"/>
      <c r="L68" s="89" t="n"/>
      <c r="M68" s="89" t="n"/>
      <c r="N68" s="89" t="n"/>
      <c r="O68" s="89" t="n"/>
      <c r="P68" s="89" t="n"/>
      <c r="Q68" s="89" t="n"/>
      <c r="R68" s="89" t="n"/>
      <c r="S68" s="89" t="n"/>
      <c r="T68" s="89" t="n"/>
      <c r="U68" s="89" t="n"/>
      <c r="V68" s="89" t="n"/>
      <c r="W68" s="89" t="n"/>
      <c r="X68" s="89" t="n"/>
      <c r="Y68" s="89" t="n"/>
      <c r="Z68" s="89" t="n"/>
      <c r="AA68" s="89" t="n"/>
      <c r="AB68" s="89" t="n"/>
      <c r="AC68" s="89" t="n"/>
      <c r="AD68" s="89" t="n"/>
      <c r="AE68" s="89" t="n"/>
      <c r="AF68" s="6" t="n"/>
      <c r="AG68" s="89" t="n"/>
    </row>
    <row r="69" ht="15.95" customHeight="1" s="130">
      <c r="A69" s="112" t="inlineStr">
        <is>
          <t>HSA-X32EAY</t>
        </is>
      </c>
      <c r="B69" s="133" t="n"/>
      <c r="C69" s="133" t="n"/>
      <c r="D69" s="133">
        <f>橫樑!I13</f>
        <v/>
      </c>
      <c r="E69" s="133" t="n"/>
      <c r="F69" s="133" t="n"/>
      <c r="G69" s="132" t="n"/>
      <c r="H69" s="89" t="n"/>
      <c r="I69" s="89" t="n"/>
      <c r="J69" s="89" t="n"/>
      <c r="K69" s="89" t="n"/>
      <c r="L69" s="89" t="n"/>
      <c r="M69" s="89" t="n"/>
      <c r="N69" s="89" t="n"/>
      <c r="O69" s="89" t="n"/>
      <c r="P69" s="89" t="n"/>
      <c r="Q69" s="89" t="n"/>
      <c r="R69" s="89" t="n"/>
      <c r="S69" s="89" t="n"/>
      <c r="T69" s="89" t="n"/>
      <c r="U69" s="89" t="n"/>
      <c r="V69" s="89" t="n"/>
      <c r="W69" s="89" t="n"/>
      <c r="X69" s="89" t="n"/>
      <c r="Y69" s="89" t="n"/>
      <c r="Z69" s="89" t="n"/>
      <c r="AA69" s="89" t="n"/>
      <c r="AB69" s="89" t="n"/>
      <c r="AC69" s="89" t="n"/>
      <c r="AD69" s="89" t="n"/>
      <c r="AE69" s="89" t="n"/>
      <c r="AF69" s="6" t="n"/>
      <c r="AG69" s="89" t="n"/>
    </row>
    <row r="70" ht="15.95" customHeight="1" s="130">
      <c r="A70" s="112" t="inlineStr">
        <is>
          <t>HSA-X36</t>
        </is>
      </c>
      <c r="B70" s="133" t="n"/>
      <c r="C70" s="133" t="n"/>
      <c r="D70" s="133">
        <f>橫樑!I15</f>
        <v/>
      </c>
      <c r="E70" s="133" t="n"/>
      <c r="F70" s="133" t="n"/>
      <c r="G70" s="132" t="n"/>
      <c r="H70" s="89" t="n"/>
      <c r="I70" s="89" t="n"/>
      <c r="J70" s="89" t="n"/>
      <c r="K70" s="89" t="n"/>
      <c r="L70" s="89" t="n"/>
      <c r="M70" s="89" t="n"/>
      <c r="N70" s="89" t="n"/>
      <c r="O70" s="89" t="n"/>
      <c r="P70" s="89" t="n"/>
      <c r="Q70" s="89" t="n"/>
      <c r="R70" s="89" t="n"/>
      <c r="S70" s="89" t="n"/>
      <c r="T70" s="89" t="n"/>
      <c r="U70" s="89" t="n"/>
      <c r="V70" s="89" t="n"/>
      <c r="W70" s="89" t="n"/>
      <c r="X70" s="89" t="n"/>
      <c r="Y70" s="89" t="n"/>
      <c r="Z70" s="89" t="n"/>
      <c r="AA70" s="89" t="n"/>
      <c r="AB70" s="89" t="n"/>
      <c r="AC70" s="89" t="n"/>
      <c r="AD70" s="89" t="n"/>
      <c r="AE70" s="89" t="n"/>
      <c r="AF70" s="6" t="n"/>
      <c r="AG70" s="89" t="n"/>
    </row>
    <row r="71" ht="15.95" customHeight="1" s="130">
      <c r="A71" s="112" t="inlineStr">
        <is>
          <t>HSA-636-6200L</t>
        </is>
      </c>
      <c r="B71" s="133" t="n"/>
      <c r="C71" s="133" t="n"/>
      <c r="D71" s="133">
        <f>橫樑!#REF!</f>
        <v/>
      </c>
      <c r="E71" s="133" t="n"/>
      <c r="F71" s="133" t="n"/>
      <c r="G71" s="132" t="n"/>
      <c r="H71" s="89" t="n"/>
      <c r="I71" s="89" t="n"/>
      <c r="J71" s="89" t="n"/>
      <c r="K71" s="89" t="n"/>
      <c r="L71" s="89" t="n"/>
      <c r="M71" s="89" t="n"/>
      <c r="N71" s="89" t="n"/>
      <c r="O71" s="89" t="n"/>
      <c r="P71" s="89" t="n"/>
      <c r="Q71" s="89" t="n"/>
      <c r="R71" s="89" t="n"/>
      <c r="S71" s="89" t="n"/>
      <c r="T71" s="89" t="n"/>
      <c r="U71" s="89" t="n"/>
      <c r="V71" s="89" t="n"/>
      <c r="W71" s="89" t="n"/>
      <c r="X71" s="89" t="n"/>
      <c r="Y71" s="89" t="n"/>
      <c r="Z71" s="89" t="n"/>
      <c r="AA71" s="89" t="n"/>
      <c r="AB71" s="89" t="n"/>
      <c r="AC71" s="89" t="n"/>
      <c r="AD71" s="89" t="n"/>
      <c r="AE71" s="89" t="n"/>
      <c r="AF71" s="6" t="n"/>
      <c r="AG71" s="89" t="n"/>
    </row>
    <row r="72" ht="15.95" customHeight="1" s="130">
      <c r="A72" s="90" t="inlineStr">
        <is>
          <t>HSA-X36EAY</t>
        </is>
      </c>
      <c r="B72" s="133" t="n"/>
      <c r="C72" s="133" t="n"/>
      <c r="D72" s="133">
        <f>橫樑!I14</f>
        <v/>
      </c>
      <c r="E72" s="133" t="n"/>
      <c r="F72" s="133" t="n"/>
      <c r="G72" s="132" t="n"/>
      <c r="H72" s="89" t="n"/>
      <c r="I72" s="89" t="n"/>
      <c r="J72" s="89" t="n"/>
      <c r="K72" s="89" t="n"/>
      <c r="L72" s="89" t="n"/>
      <c r="M72" s="89" t="n"/>
      <c r="N72" s="89" t="n"/>
      <c r="O72" s="89" t="n"/>
      <c r="P72" s="89" t="n"/>
      <c r="Q72" s="89" t="n"/>
      <c r="R72" s="89" t="n"/>
      <c r="S72" s="89" t="n"/>
      <c r="T72" s="89" t="n"/>
      <c r="U72" s="89" t="n"/>
      <c r="V72" s="89" t="n"/>
      <c r="W72" s="89" t="n"/>
      <c r="X72" s="89" t="n"/>
      <c r="Y72" s="89" t="n"/>
      <c r="Z72" s="89" t="n"/>
      <c r="AA72" s="89" t="n"/>
      <c r="AB72" s="89" t="n"/>
      <c r="AC72" s="89" t="n"/>
      <c r="AD72" s="89" t="n"/>
      <c r="AE72" s="89" t="n"/>
      <c r="AF72" s="6" t="n"/>
      <c r="AG72" s="89" t="n"/>
    </row>
    <row r="73" ht="15.95" customHeight="1" s="130">
      <c r="A73" s="90" t="inlineStr">
        <is>
          <t>HSA-X46EAY</t>
        </is>
      </c>
      <c r="B73" s="133" t="n"/>
      <c r="C73" s="133" t="n"/>
      <c r="D73" s="133">
        <f>橫樑!#REF!</f>
        <v/>
      </c>
      <c r="E73" s="133" t="n"/>
      <c r="F73" s="133" t="n"/>
      <c r="G73" s="132" t="n"/>
      <c r="H73" s="89" t="n"/>
      <c r="I73" s="89" t="n"/>
      <c r="J73" s="89" t="n"/>
      <c r="K73" s="89" t="n"/>
      <c r="L73" s="89" t="n"/>
      <c r="M73" s="89" t="n"/>
      <c r="N73" s="89" t="n"/>
      <c r="O73" s="89" t="n"/>
      <c r="P73" s="89" t="n"/>
      <c r="Q73" s="89" t="n"/>
      <c r="R73" s="89" t="n"/>
      <c r="S73" s="89" t="n"/>
      <c r="T73" s="89" t="n"/>
      <c r="U73" s="89" t="n"/>
      <c r="V73" s="89" t="n"/>
      <c r="W73" s="89" t="n"/>
      <c r="X73" s="89" t="n"/>
      <c r="Y73" s="89" t="n"/>
      <c r="Z73" s="89" t="n"/>
      <c r="AA73" s="89" t="n"/>
      <c r="AB73" s="89" t="n"/>
      <c r="AC73" s="89" t="n"/>
      <c r="AD73" s="89" t="n"/>
      <c r="AE73" s="89" t="n"/>
      <c r="AF73" s="6" t="n"/>
      <c r="AG73" s="89" t="n"/>
    </row>
    <row r="74" ht="15.95" customHeight="1" s="130">
      <c r="A74" s="90" t="inlineStr">
        <is>
          <t>TGV-106</t>
        </is>
      </c>
      <c r="B74" s="133">
        <f>底座!H71</f>
        <v/>
      </c>
      <c r="C74" s="133" t="n"/>
      <c r="D74" s="133">
        <f>橫樑!I16</f>
        <v/>
      </c>
      <c r="E74" s="133" t="n"/>
      <c r="F74" s="133" t="n"/>
      <c r="G74" s="132" t="n"/>
      <c r="H74" s="89" t="n"/>
      <c r="I74" s="89" t="n"/>
      <c r="J74" s="89" t="n"/>
      <c r="K74" s="89" t="n"/>
      <c r="L74" s="89" t="n"/>
      <c r="M74" s="89" t="n"/>
      <c r="N74" s="89" t="n"/>
      <c r="O74" s="89" t="n"/>
      <c r="P74" s="89" t="n"/>
      <c r="Q74" s="89" t="n"/>
      <c r="R74" s="89" t="n"/>
      <c r="S74" s="89" t="n"/>
      <c r="T74" s="89" t="n"/>
      <c r="U74" s="89" t="n"/>
      <c r="V74" s="89" t="n"/>
      <c r="W74" s="89" t="n"/>
      <c r="X74" s="89" t="n"/>
      <c r="Y74" s="89" t="n"/>
      <c r="Z74" s="89" t="n"/>
      <c r="AA74" s="89" t="n"/>
      <c r="AB74" s="89" t="n"/>
      <c r="AC74" s="89" t="n"/>
      <c r="AD74" s="89" t="n"/>
      <c r="AE74" s="89" t="n"/>
      <c r="AF74" s="6" t="n"/>
      <c r="AG74" s="89" t="n"/>
    </row>
    <row r="75" ht="15.95" customHeight="1" s="130">
      <c r="A75" s="90" t="inlineStr">
        <is>
          <t>HSA-X23_NEO</t>
        </is>
      </c>
      <c r="B75" s="133" t="n"/>
      <c r="C75" s="133" t="n"/>
      <c r="D75" s="133">
        <f>橫樑!I17</f>
        <v/>
      </c>
      <c r="E75" s="133" t="n"/>
      <c r="F75" s="133" t="n"/>
      <c r="G75" s="132" t="n"/>
      <c r="H75" s="89" t="n"/>
      <c r="I75" s="89" t="n"/>
      <c r="J75" s="89" t="n"/>
      <c r="K75" s="89" t="n"/>
      <c r="L75" s="89" t="n"/>
      <c r="M75" s="89" t="n"/>
      <c r="N75" s="89" t="n"/>
      <c r="O75" s="89" t="n"/>
      <c r="P75" s="89" t="n"/>
      <c r="Q75" s="89" t="n"/>
      <c r="R75" s="89" t="n"/>
      <c r="S75" s="89" t="n"/>
      <c r="T75" s="89" t="n"/>
      <c r="U75" s="89" t="n"/>
      <c r="V75" s="89" t="n"/>
      <c r="W75" s="89" t="n"/>
      <c r="X75" s="89" t="n"/>
      <c r="Y75" s="89" t="n"/>
      <c r="Z75" s="89" t="n"/>
      <c r="AA75" s="89" t="n"/>
      <c r="AB75" s="89" t="n"/>
      <c r="AC75" s="89" t="n"/>
      <c r="AD75" s="89" t="n"/>
      <c r="AE75" s="89" t="n"/>
      <c r="AF75" s="6" t="n"/>
      <c r="AG75" s="89" t="n"/>
    </row>
    <row r="76" ht="15.95" customHeight="1" s="130">
      <c r="A76" s="90" t="inlineStr">
        <is>
          <t>HSA-X20_NEO</t>
        </is>
      </c>
      <c r="B76" s="133" t="n"/>
      <c r="C76" s="133" t="n"/>
      <c r="D76" s="133">
        <f>橫樑!I18</f>
        <v/>
      </c>
      <c r="E76" s="133" t="n"/>
      <c r="F76" s="133" t="n"/>
      <c r="G76" s="132" t="n"/>
      <c r="H76" s="89" t="n"/>
      <c r="I76" s="89" t="n"/>
      <c r="J76" s="89" t="n"/>
      <c r="K76" s="89" t="n"/>
      <c r="L76" s="89" t="n"/>
      <c r="M76" s="89" t="n"/>
      <c r="N76" s="89" t="n"/>
      <c r="O76" s="89" t="n"/>
      <c r="P76" s="89" t="n"/>
      <c r="Q76" s="89" t="n"/>
      <c r="R76" s="89" t="n"/>
      <c r="S76" s="89" t="n"/>
      <c r="T76" s="89" t="n"/>
      <c r="U76" s="89" t="n"/>
      <c r="V76" s="89" t="n"/>
      <c r="W76" s="89" t="n"/>
      <c r="X76" s="89" t="n"/>
      <c r="Y76" s="89" t="n"/>
      <c r="Z76" s="89" t="n"/>
      <c r="AA76" s="89" t="n"/>
      <c r="AB76" s="89" t="n"/>
      <c r="AC76" s="89" t="n"/>
      <c r="AD76" s="89" t="n"/>
      <c r="AE76" s="89" t="n"/>
      <c r="AF76" s="6" t="n"/>
      <c r="AG76" s="89" t="n"/>
    </row>
    <row r="77" ht="15.95" customHeight="1" s="130">
      <c r="A77" s="85" t="inlineStr">
        <is>
          <t>LG-500</t>
        </is>
      </c>
      <c r="B77" s="133">
        <f>底座!H60</f>
        <v/>
      </c>
      <c r="C77" s="133" t="n"/>
      <c r="D77" s="133" t="n"/>
      <c r="E77" s="133">
        <f>立柱!#REF!</f>
        <v/>
      </c>
      <c r="F77" s="133" t="n"/>
      <c r="G77" s="132" t="n"/>
      <c r="H77" s="89" t="n"/>
      <c r="I77" s="89" t="n"/>
      <c r="J77" s="89" t="n"/>
      <c r="K77" s="89" t="n"/>
      <c r="L77" s="89" t="n"/>
      <c r="M77" s="89" t="n"/>
      <c r="N77" s="89" t="n"/>
      <c r="O77" s="89" t="n"/>
      <c r="P77" s="89" t="n"/>
      <c r="Q77" s="89" t="n"/>
      <c r="R77" s="89" t="n"/>
      <c r="S77" s="89" t="n"/>
      <c r="T77" s="89" t="n"/>
      <c r="U77" s="89" t="n"/>
      <c r="V77" s="89" t="n"/>
      <c r="W77" s="89" t="n"/>
      <c r="X77" s="89" t="n"/>
      <c r="Y77" s="89" t="n"/>
      <c r="Z77" s="89" t="n"/>
      <c r="AA77" s="89" t="n"/>
      <c r="AB77" s="89" t="n"/>
      <c r="AC77" s="89" t="n"/>
      <c r="AD77" s="89" t="n"/>
      <c r="AE77" s="89" t="n"/>
      <c r="AF77" s="6" t="n"/>
      <c r="AG77" s="89" t="n"/>
    </row>
    <row r="78" ht="15.95" customHeight="1" s="130">
      <c r="A78" s="85" t="inlineStr">
        <is>
          <t>LG-800</t>
        </is>
      </c>
      <c r="B78" s="133">
        <f>底座!H61</f>
        <v/>
      </c>
      <c r="C78" s="133" t="n"/>
      <c r="D78" s="133" t="n"/>
      <c r="E78" s="133">
        <f>立柱!G2</f>
        <v/>
      </c>
      <c r="F78" s="133" t="n"/>
      <c r="G78" s="132" t="n"/>
      <c r="H78" s="89" t="n"/>
      <c r="I78" s="89" t="n"/>
      <c r="J78" s="89" t="n"/>
      <c r="K78" s="89" t="n"/>
      <c r="L78" s="89" t="n"/>
      <c r="M78" s="89" t="n"/>
      <c r="N78" s="89" t="n"/>
      <c r="O78" s="89" t="n"/>
      <c r="P78" s="89" t="n"/>
      <c r="Q78" s="89" t="n"/>
      <c r="R78" s="89" t="n"/>
      <c r="S78" s="89" t="n"/>
      <c r="T78" s="89" t="n"/>
      <c r="U78" s="89" t="n"/>
      <c r="V78" s="89" t="n"/>
      <c r="W78" s="89" t="n"/>
      <c r="X78" s="89" t="n"/>
      <c r="Y78" s="89" t="n"/>
      <c r="Z78" s="89" t="n"/>
      <c r="AA78" s="89" t="n"/>
      <c r="AB78" s="89" t="n"/>
      <c r="AC78" s="89" t="n"/>
      <c r="AD78" s="89" t="n"/>
      <c r="AE78" s="89" t="n"/>
      <c r="AF78" s="6" t="n"/>
      <c r="AG78" s="89" t="n"/>
    </row>
    <row r="79" ht="15.95" customHeight="1" s="130">
      <c r="A79" s="85" t="inlineStr">
        <is>
          <t>LG-1370</t>
        </is>
      </c>
      <c r="B79" s="133">
        <f>底座!H62</f>
        <v/>
      </c>
      <c r="C79" s="133" t="n"/>
      <c r="D79" s="133" t="n"/>
      <c r="E79" s="133">
        <f>立柱!G3</f>
        <v/>
      </c>
      <c r="F79" s="133" t="n"/>
      <c r="G79" s="132" t="n"/>
      <c r="H79" s="89" t="n"/>
      <c r="I79" s="89" t="n"/>
      <c r="J79" s="89" t="n"/>
      <c r="K79" s="89" t="n"/>
      <c r="L79" s="89" t="n"/>
      <c r="M79" s="89" t="n"/>
      <c r="N79" s="89" t="n"/>
      <c r="O79" s="89" t="n"/>
      <c r="P79" s="89" t="n"/>
      <c r="Q79" s="89" t="n"/>
      <c r="R79" s="89" t="n"/>
      <c r="S79" s="89" t="n"/>
      <c r="T79" s="89" t="n"/>
      <c r="U79" s="89" t="n"/>
      <c r="V79" s="89" t="n"/>
      <c r="W79" s="89" t="n"/>
      <c r="X79" s="89" t="n"/>
      <c r="Y79" s="89" t="n"/>
      <c r="Z79" s="89" t="n"/>
      <c r="AA79" s="89" t="n"/>
      <c r="AB79" s="89" t="n"/>
      <c r="AC79" s="89" t="n"/>
      <c r="AD79" s="89" t="n"/>
      <c r="AE79" s="89" t="n"/>
      <c r="AF79" s="6" t="n"/>
      <c r="AG79" s="89" t="n"/>
    </row>
    <row r="80" ht="15.95" customHeight="1" s="130">
      <c r="A80" s="85" t="inlineStr">
        <is>
          <t>MVP-860</t>
        </is>
      </c>
      <c r="B80" s="133">
        <f>底座!H63</f>
        <v/>
      </c>
      <c r="C80" s="133" t="n"/>
      <c r="D80" s="133" t="n"/>
      <c r="E80" s="133">
        <f>立柱!G4</f>
        <v/>
      </c>
      <c r="F80" s="133" t="n"/>
      <c r="G80" s="132" t="n"/>
    </row>
    <row r="81" ht="15.95" customHeight="1" s="130">
      <c r="A81" s="85" t="inlineStr">
        <is>
          <t>MVP-1060</t>
        </is>
      </c>
      <c r="B81" s="133" t="n"/>
      <c r="C81" s="133" t="n"/>
      <c r="D81" s="133" t="n"/>
      <c r="E81" s="133" t="n"/>
      <c r="F81" s="133" t="n"/>
      <c r="G81" s="132" t="n"/>
    </row>
    <row r="82" ht="15.95" customHeight="1" s="130">
      <c r="A82" s="85" t="inlineStr">
        <is>
          <t>MVP-11</t>
        </is>
      </c>
      <c r="B82" s="133">
        <f>底座!H64</f>
        <v/>
      </c>
      <c r="C82" s="133" t="n"/>
      <c r="D82" s="133" t="n"/>
      <c r="E82" s="133">
        <f>立柱!G5</f>
        <v/>
      </c>
      <c r="F82" s="133" t="n"/>
      <c r="G82" s="132" t="n"/>
    </row>
    <row r="83" ht="15.95" customHeight="1" s="130">
      <c r="A83" s="85" t="inlineStr">
        <is>
          <t>A10</t>
        </is>
      </c>
      <c r="B83" s="133">
        <f>底座!H65</f>
        <v/>
      </c>
      <c r="C83" s="133" t="n"/>
      <c r="D83" s="133" t="n"/>
      <c r="E83" s="133">
        <f>立柱!G6</f>
        <v/>
      </c>
      <c r="F83" s="133" t="n"/>
      <c r="G83" s="132" t="n"/>
    </row>
    <row r="84" ht="15.95" customHeight="1" s="130">
      <c r="A84" s="85" t="inlineStr">
        <is>
          <t>S-PLUS</t>
        </is>
      </c>
      <c r="B84" s="133">
        <f>底座!H66</f>
        <v/>
      </c>
      <c r="C84" s="133" t="n"/>
      <c r="D84" s="133" t="n"/>
      <c r="E84" s="133">
        <f>立柱!G7</f>
        <v/>
      </c>
      <c r="F84" s="133" t="n"/>
      <c r="G84" s="132" t="n"/>
    </row>
    <row r="85" ht="15.95" customHeight="1" s="130">
      <c r="A85" s="85" t="inlineStr">
        <is>
          <t>S8</t>
        </is>
      </c>
      <c r="B85" s="133">
        <f>底座!H67</f>
        <v/>
      </c>
      <c r="C85" s="133" t="n"/>
      <c r="D85" s="133" t="n"/>
      <c r="E85" s="133">
        <f>立柱!G8</f>
        <v/>
      </c>
      <c r="F85" s="133" t="n"/>
      <c r="G85" s="132" t="n"/>
    </row>
    <row r="86" ht="15.95" customHeight="1" s="130">
      <c r="A86" s="85" t="inlineStr">
        <is>
          <t>S10</t>
        </is>
      </c>
      <c r="B86" s="133">
        <f>底座!H68</f>
        <v/>
      </c>
      <c r="C86" s="133" t="n"/>
      <c r="D86" s="133" t="n"/>
      <c r="E86" s="133">
        <f>立柱!#REF!</f>
        <v/>
      </c>
      <c r="F86" s="133" t="n"/>
      <c r="G86" s="132" t="n"/>
    </row>
    <row r="87" ht="15.95" customHeight="1" s="130">
      <c r="A87" s="112" t="inlineStr">
        <is>
          <t>PBM135-X軸(3米)</t>
        </is>
      </c>
      <c r="B87" s="133">
        <f>底座!H43</f>
        <v/>
      </c>
      <c r="C87" s="133" t="n"/>
      <c r="D87" s="133" t="n"/>
      <c r="E87" s="133" t="n"/>
      <c r="F87" s="133" t="n"/>
      <c r="G87" s="132" t="n"/>
    </row>
    <row r="88" ht="15.95" customHeight="1" s="130">
      <c r="A88" s="112" t="inlineStr">
        <is>
          <t>PBM135-X軸(4米)</t>
        </is>
      </c>
      <c r="B88" s="133">
        <f>底座!H44</f>
        <v/>
      </c>
      <c r="C88" s="133" t="n"/>
      <c r="D88" s="133" t="n"/>
      <c r="E88" s="133" t="n"/>
      <c r="F88" s="133" t="n"/>
      <c r="G88" s="132" t="n"/>
    </row>
    <row r="89" ht="15.95" customHeight="1" s="130">
      <c r="A89" s="112" t="inlineStr">
        <is>
          <t>PBM135-Z軸</t>
        </is>
      </c>
      <c r="B89" s="133">
        <f>底座!H45</f>
        <v/>
      </c>
      <c r="C89" s="133" t="n"/>
      <c r="D89" s="133" t="n"/>
      <c r="E89" s="133" t="n"/>
      <c r="F89" s="133" t="n"/>
      <c r="G89" s="132" t="n"/>
    </row>
    <row r="90" ht="15.95" customHeight="1" s="130">
      <c r="A90" s="112" t="inlineStr">
        <is>
          <t>PBM115A-X軸</t>
        </is>
      </c>
      <c r="B90" s="133">
        <f>底座!H46</f>
        <v/>
      </c>
      <c r="C90" s="133" t="n"/>
      <c r="D90" s="133" t="n"/>
      <c r="E90" s="133" t="n"/>
      <c r="F90" s="133" t="n"/>
      <c r="G90" s="132" t="n"/>
    </row>
    <row r="91" ht="15.95" customHeight="1" s="130">
      <c r="A91" s="112" t="inlineStr">
        <is>
          <t>PBM115A-Z軸</t>
        </is>
      </c>
      <c r="B91" s="133">
        <f>底座!H47</f>
        <v/>
      </c>
      <c r="C91" s="133" t="n"/>
      <c r="D91" s="133" t="n"/>
      <c r="E91" s="133" t="n"/>
      <c r="F91" s="133" t="n"/>
      <c r="G91" s="132" t="n"/>
    </row>
    <row r="92" ht="15.95" customHeight="1" s="130">
      <c r="A92" s="112" t="inlineStr">
        <is>
          <t>SW-216</t>
        </is>
      </c>
      <c r="B92" s="133">
        <f>底座!H49</f>
        <v/>
      </c>
      <c r="C92" s="133">
        <f>工作台!J24</f>
        <v/>
      </c>
      <c r="D92" s="133" t="n"/>
      <c r="E92" s="133" t="n"/>
      <c r="F92" s="133" t="n"/>
      <c r="G92" s="132" t="n"/>
    </row>
    <row r="93" ht="15.95" customHeight="1" s="130">
      <c r="A93" s="112" t="inlineStr">
        <is>
          <t>SW-2616</t>
        </is>
      </c>
      <c r="B93" s="133">
        <f>底座!#REF!</f>
        <v/>
      </c>
      <c r="C93" s="133">
        <f>工作台!J25</f>
        <v/>
      </c>
      <c r="D93" s="133" t="n"/>
      <c r="E93" s="133" t="n"/>
      <c r="F93" s="133" t="n"/>
      <c r="G93" s="132" t="n"/>
    </row>
    <row r="94" ht="15.95" customHeight="1" s="130">
      <c r="A94" s="112" t="inlineStr">
        <is>
          <t>SW-220</t>
        </is>
      </c>
      <c r="B94" s="133">
        <f>底座!H48</f>
        <v/>
      </c>
      <c r="C94" s="133">
        <f>工作台!J26</f>
        <v/>
      </c>
      <c r="D94" s="133" t="n"/>
      <c r="E94" s="133" t="n"/>
      <c r="F94" s="133" t="n"/>
      <c r="G94" s="132" t="n"/>
    </row>
    <row r="95" ht="15.95" customHeight="1" s="130">
      <c r="A95" s="112" t="inlineStr">
        <is>
          <t>SW-316</t>
        </is>
      </c>
      <c r="B95" s="133">
        <f>底座!H50</f>
        <v/>
      </c>
      <c r="C95" s="133">
        <f>工作台!J27</f>
        <v/>
      </c>
      <c r="D95" s="133" t="n"/>
      <c r="E95" s="133" t="n"/>
      <c r="F95" s="133" t="n"/>
      <c r="G95" s="132" t="n"/>
    </row>
    <row r="96" ht="15.95" customHeight="1" s="130">
      <c r="A96" s="112" t="inlineStr">
        <is>
          <t>SW-320</t>
        </is>
      </c>
      <c r="B96" s="133">
        <f>底座!H51</f>
        <v/>
      </c>
      <c r="C96" s="133">
        <f>工作台!J28</f>
        <v/>
      </c>
      <c r="D96" s="133" t="n"/>
      <c r="E96" s="133" t="n"/>
      <c r="F96" s="133" t="n"/>
      <c r="G96" s="132" t="n"/>
    </row>
    <row r="97" ht="15.95" customHeight="1" s="130">
      <c r="A97" s="112" t="inlineStr">
        <is>
          <t>SW323</t>
        </is>
      </c>
      <c r="B97" s="133">
        <f>底座!H52</f>
        <v/>
      </c>
      <c r="C97" s="133">
        <f>工作台!J29</f>
        <v/>
      </c>
      <c r="D97" s="133" t="n"/>
      <c r="E97" s="133" t="n"/>
      <c r="F97" s="133" t="n"/>
      <c r="G97" s="132" t="n"/>
    </row>
    <row r="98" ht="15.95" customHeight="1" s="130">
      <c r="A98" s="112" t="inlineStr">
        <is>
          <t>SW326</t>
        </is>
      </c>
      <c r="B98" s="133">
        <f>底座!H53</f>
        <v/>
      </c>
      <c r="C98" s="133">
        <f>工作台!J30</f>
        <v/>
      </c>
      <c r="D98" s="133" t="n"/>
      <c r="E98" s="133" t="n"/>
      <c r="F98" s="133" t="n"/>
      <c r="G98" s="132" t="n"/>
    </row>
    <row r="99" ht="15.95" customHeight="1" s="130">
      <c r="A99" s="112" t="inlineStr">
        <is>
          <t>SW416</t>
        </is>
      </c>
      <c r="B99" s="133">
        <f>底座!H56</f>
        <v/>
      </c>
      <c r="C99" s="133">
        <f>工作台!J31</f>
        <v/>
      </c>
      <c r="D99" s="133" t="n"/>
      <c r="E99" s="133" t="n"/>
      <c r="F99" s="133" t="n"/>
      <c r="G99" s="132" t="n"/>
    </row>
    <row r="100" ht="15.95" customHeight="1" s="130">
      <c r="A100" s="112" t="inlineStr">
        <is>
          <t>SW420</t>
        </is>
      </c>
      <c r="B100" s="133">
        <f>底座!H54</f>
        <v/>
      </c>
      <c r="C100" s="133">
        <f>工作台!J32</f>
        <v/>
      </c>
      <c r="D100" s="133" t="n"/>
      <c r="E100" s="133" t="n"/>
      <c r="F100" s="133" t="n"/>
      <c r="G100" s="132" t="n"/>
    </row>
    <row r="101" ht="15.95" customHeight="1" s="130">
      <c r="A101" s="112" t="inlineStr">
        <is>
          <t>SW423</t>
        </is>
      </c>
      <c r="B101" s="133">
        <f>底座!H55</f>
        <v/>
      </c>
      <c r="C101" s="133">
        <f>工作台!J33</f>
        <v/>
      </c>
      <c r="D101" s="133" t="n"/>
      <c r="E101" s="133" t="n"/>
      <c r="F101" s="133" t="n"/>
      <c r="G101" s="132" t="n"/>
    </row>
    <row r="102" ht="15.95" customHeight="1" s="130">
      <c r="A102" s="112" t="inlineStr">
        <is>
          <t>SW-426</t>
        </is>
      </c>
      <c r="B102" s="133">
        <f>底座!H57</f>
        <v/>
      </c>
      <c r="C102" s="133">
        <f>工作台!J34</f>
        <v/>
      </c>
      <c r="D102" s="133" t="n"/>
      <c r="E102" s="133" t="n"/>
      <c r="F102" s="133" t="n"/>
      <c r="G102" s="132" t="n"/>
    </row>
    <row r="103" ht="15.95" customHeight="1" s="130">
      <c r="A103" s="112" t="inlineStr">
        <is>
          <t>SW-4350</t>
        </is>
      </c>
      <c r="B103" s="133">
        <f>底座!#REF!</f>
        <v/>
      </c>
      <c r="C103" s="133">
        <f>工作台!#REF!</f>
        <v/>
      </c>
      <c r="D103" s="133" t="n"/>
      <c r="E103" s="133" t="n"/>
      <c r="F103" s="133" t="n"/>
      <c r="G103" s="132" t="n"/>
    </row>
    <row r="104">
      <c r="A104" s="112" t="inlineStr">
        <is>
          <t>SW-523</t>
        </is>
      </c>
      <c r="B104" s="133">
        <f>底座!H58</f>
        <v/>
      </c>
      <c r="C104" s="133">
        <f>工作台!J35</f>
        <v/>
      </c>
      <c r="D104" s="133" t="n"/>
      <c r="E104" s="133" t="n"/>
      <c r="F104" s="133" t="n"/>
      <c r="G104" s="132" t="n"/>
    </row>
    <row r="105">
      <c r="A105" s="112" t="inlineStr">
        <is>
          <t>SW-526</t>
        </is>
      </c>
      <c r="B105" s="133">
        <f>底座!H59</f>
        <v/>
      </c>
      <c r="C105" s="133">
        <f>工作台!J37</f>
        <v/>
      </c>
      <c r="D105" s="133" t="n"/>
      <c r="E105" s="133" t="n"/>
      <c r="F105" s="133" t="n"/>
      <c r="G105" s="132" t="n"/>
    </row>
    <row r="106">
      <c r="A106" s="112" t="inlineStr">
        <is>
          <t>SW-623</t>
        </is>
      </c>
      <c r="B106" s="133" t="n"/>
      <c r="C106" s="133">
        <f>工作台!J36</f>
        <v/>
      </c>
      <c r="D106" s="133" t="n"/>
      <c r="E106" s="133" t="n"/>
      <c r="F106" s="133" t="n"/>
      <c r="G106" s="132" t="n"/>
    </row>
    <row r="107">
      <c r="A107" s="112" t="inlineStr">
        <is>
          <t>SW-626</t>
        </is>
      </c>
      <c r="B107" s="133" t="n">
        <v>0</v>
      </c>
      <c r="C107" s="133">
        <f>工作台!#REF!</f>
        <v/>
      </c>
      <c r="D107" s="133" t="n"/>
      <c r="E107" s="133" t="n"/>
      <c r="F107" s="133" t="n"/>
      <c r="G107" s="132" t="n"/>
    </row>
    <row r="108">
      <c r="A108" s="112" t="inlineStr">
        <is>
          <t>SW-5350</t>
        </is>
      </c>
      <c r="B108" s="133" t="n">
        <v>0</v>
      </c>
      <c r="C108" s="133">
        <f>工作台!#REF!</f>
        <v/>
      </c>
      <c r="D108" s="133" t="n"/>
      <c r="E108" s="133" t="n"/>
      <c r="F108" s="133" t="n"/>
      <c r="G108" s="132" t="n"/>
    </row>
    <row r="109">
      <c r="A109" s="112" t="inlineStr">
        <is>
          <t>SW-6350</t>
        </is>
      </c>
      <c r="B109" s="133" t="n"/>
      <c r="C109" s="133" t="n">
        <v>0</v>
      </c>
      <c r="D109" s="133" t="n"/>
      <c r="E109" s="133" t="n"/>
      <c r="F109" s="133" t="n"/>
      <c r="G109" s="132" t="n"/>
    </row>
    <row r="110">
      <c r="A110" s="112" t="inlineStr">
        <is>
          <t>VW4340</t>
        </is>
      </c>
      <c r="B110" s="133" t="n">
        <v>0</v>
      </c>
      <c r="C110" s="133">
        <f>工作台!#REF!</f>
        <v/>
      </c>
      <c r="D110" s="133" t="n"/>
      <c r="E110" s="133" t="n"/>
      <c r="F110" s="133" t="n"/>
      <c r="G110" s="132" t="n"/>
    </row>
    <row r="111">
      <c r="A111" s="112" t="inlineStr">
        <is>
          <t>VW7340</t>
        </is>
      </c>
      <c r="B111" s="133">
        <f>底座!#REF!</f>
        <v/>
      </c>
      <c r="C111" s="133">
        <f>工作台!#REF!</f>
        <v/>
      </c>
      <c r="D111" s="133" t="n"/>
      <c r="E111" s="133">
        <f>立柱!#REF!</f>
        <v/>
      </c>
      <c r="F111" s="133" t="n"/>
      <c r="G111" s="132" t="n"/>
    </row>
    <row r="112">
      <c r="A112" s="112" t="inlineStr">
        <is>
          <t>VW5430</t>
        </is>
      </c>
      <c r="B112" s="133" t="n"/>
      <c r="C112" s="133">
        <f>工作台!#REF!</f>
        <v/>
      </c>
      <c r="D112" s="133" t="n"/>
      <c r="E112" s="133" t="n"/>
      <c r="F112" s="133" t="n"/>
      <c r="G112" s="132" t="n"/>
    </row>
    <row r="113">
      <c r="A113" s="112" t="inlineStr">
        <is>
          <t>VW-X340定樑</t>
        </is>
      </c>
      <c r="B113" s="136" t="n"/>
      <c r="C113" s="136" t="n"/>
      <c r="D113" s="136" t="n"/>
      <c r="E113" s="136" t="n"/>
      <c r="F113" s="136" t="n"/>
      <c r="G113" s="132" t="n">
        <v>1</v>
      </c>
    </row>
    <row r="114">
      <c r="A114" s="90" t="inlineStr">
        <is>
          <t>5BC-4300</t>
        </is>
      </c>
      <c r="B114" s="136" t="n"/>
      <c r="C114" s="136" t="n"/>
      <c r="D114" s="136" t="n"/>
      <c r="E114" s="133">
        <f>立柱!#REF!</f>
        <v/>
      </c>
      <c r="F114" s="136" t="n"/>
      <c r="G114" s="137" t="n"/>
    </row>
    <row r="115">
      <c r="A115" s="119" t="inlineStr">
        <is>
          <t>LG-1370_NEO</t>
        </is>
      </c>
      <c r="B115" s="133">
        <f>底座!H69</f>
        <v/>
      </c>
      <c r="C115" s="133" t="n"/>
      <c r="D115" s="133" t="n"/>
      <c r="E115" s="133">
        <f>立柱!G9</f>
        <v/>
      </c>
      <c r="F115" s="133" t="n"/>
      <c r="G115" s="132" t="n"/>
    </row>
    <row r="116">
      <c r="A116" s="119" t="inlineStr">
        <is>
          <t>LG-1000_NEO</t>
        </is>
      </c>
      <c r="B116" s="133">
        <f>底座!H70</f>
        <v/>
      </c>
      <c r="C116" s="133" t="n"/>
      <c r="D116" s="133" t="n"/>
      <c r="E116" s="133">
        <f>立柱!#REF!</f>
        <v/>
      </c>
      <c r="F116" s="133" t="n"/>
      <c r="G116" s="132" t="n"/>
    </row>
    <row r="117">
      <c r="A117" s="119" t="inlineStr">
        <is>
          <t>MVP-11_Dynamic</t>
        </is>
      </c>
      <c r="B117" s="136" t="n"/>
      <c r="C117" s="136" t="n"/>
      <c r="D117" s="136" t="n"/>
      <c r="E117" s="133">
        <f>立柱!#REF!</f>
        <v/>
      </c>
      <c r="F117" s="136" t="n"/>
      <c r="G117" s="137" t="n"/>
    </row>
    <row r="118">
      <c r="A118" s="119" t="inlineStr">
        <is>
          <t>LG-1000_NEO</t>
        </is>
      </c>
      <c r="B118" s="136" t="n"/>
      <c r="C118" s="136" t="n"/>
      <c r="D118" s="136" t="n"/>
      <c r="E118" s="133">
        <f>立柱!#REF!</f>
        <v/>
      </c>
      <c r="F118" s="136" t="n"/>
      <c r="G118" s="137" t="n"/>
    </row>
    <row r="119">
      <c r="A119" s="120" t="inlineStr">
        <is>
          <t>LG-1000_NEO+100H</t>
        </is>
      </c>
      <c r="B119" s="136" t="n"/>
      <c r="C119" s="136" t="n"/>
      <c r="D119" s="136" t="n"/>
      <c r="E119" s="133">
        <f>立柱!#REF!</f>
        <v/>
      </c>
      <c r="F119" s="136" t="n"/>
      <c r="G119" s="137" t="n"/>
    </row>
    <row r="120">
      <c r="A120" s="89" t="n"/>
      <c r="B120" s="135" t="n"/>
      <c r="C120" s="135" t="n"/>
      <c r="D120" s="135" t="n"/>
      <c r="E120" s="135" t="n"/>
      <c r="F120" s="135" t="n"/>
    </row>
    <row r="121">
      <c r="A121" s="89" t="n"/>
      <c r="B121" s="135" t="n"/>
      <c r="C121" s="135" t="n"/>
      <c r="D121" s="135" t="n"/>
      <c r="E121" s="135" t="n"/>
      <c r="F121" s="135" t="n"/>
    </row>
    <row r="122">
      <c r="A122" s="89" t="n"/>
      <c r="B122" s="135" t="n"/>
      <c r="C122" s="135" t="n"/>
      <c r="D122" s="135" t="n"/>
      <c r="E122" s="135" t="n"/>
      <c r="F122" s="135" t="n"/>
    </row>
    <row r="123">
      <c r="A123" s="89" t="n"/>
      <c r="B123" s="135" t="n"/>
      <c r="C123" s="135" t="n"/>
      <c r="D123" s="135" t="n"/>
      <c r="E123" s="135" t="n"/>
      <c r="F123" s="135" t="n"/>
    </row>
    <row r="124">
      <c r="A124" s="89" t="n"/>
      <c r="B124" s="135" t="n"/>
      <c r="C124" s="135" t="n"/>
      <c r="D124" s="135" t="n"/>
      <c r="E124" s="135" t="n"/>
      <c r="F124" s="135" t="n"/>
    </row>
    <row r="125">
      <c r="A125" s="89" t="n"/>
      <c r="B125" s="135" t="n"/>
      <c r="C125" s="135" t="n"/>
      <c r="D125" s="135" t="n"/>
      <c r="E125" s="135" t="n"/>
      <c r="F125" s="135" t="n"/>
    </row>
    <row r="126">
      <c r="A126" s="89" t="n"/>
      <c r="B126" s="135" t="n"/>
      <c r="C126" s="135" t="n"/>
      <c r="D126" s="135" t="n"/>
      <c r="E126" s="135" t="n"/>
      <c r="F126" s="135" t="n"/>
    </row>
    <row r="127">
      <c r="A127" s="89" t="n"/>
      <c r="B127" s="135" t="n"/>
      <c r="C127" s="135" t="n"/>
      <c r="D127" s="135" t="n"/>
      <c r="E127" s="135" t="n"/>
      <c r="F127" s="135" t="n"/>
    </row>
    <row r="128">
      <c r="A128" s="89" t="n"/>
      <c r="B128" s="135" t="n"/>
      <c r="C128" s="135" t="n"/>
      <c r="D128" s="135" t="n"/>
      <c r="E128" s="135" t="n"/>
      <c r="F128" s="135" t="n"/>
    </row>
    <row r="129">
      <c r="A129" s="89" t="n"/>
      <c r="B129" s="135" t="n"/>
      <c r="C129" s="135" t="n"/>
      <c r="D129" s="135" t="n"/>
      <c r="E129" s="135" t="n"/>
      <c r="F129" s="135" t="n"/>
    </row>
    <row r="130">
      <c r="A130" s="89" t="n"/>
      <c r="B130" s="135" t="n"/>
      <c r="C130" s="135" t="n"/>
      <c r="D130" s="135" t="n"/>
      <c r="E130" s="135" t="n"/>
      <c r="F130" s="135" t="n"/>
    </row>
    <row r="131">
      <c r="A131" s="89" t="n"/>
      <c r="B131" s="135" t="n"/>
      <c r="C131" s="135" t="n"/>
      <c r="D131" s="135" t="n"/>
      <c r="E131" s="135" t="n"/>
      <c r="F131" s="135" t="n"/>
    </row>
    <row r="132">
      <c r="A132" s="89" t="n"/>
      <c r="B132" s="135" t="n"/>
      <c r="C132" s="135" t="n"/>
      <c r="D132" s="135" t="n"/>
      <c r="E132" s="135" t="n"/>
      <c r="F132" s="135" t="n"/>
    </row>
    <row r="133">
      <c r="A133" s="89" t="n"/>
      <c r="B133" s="135" t="n"/>
      <c r="C133" s="135" t="n"/>
      <c r="D133" s="135" t="n"/>
      <c r="E133" s="135" t="n"/>
      <c r="F133" s="135" t="n"/>
    </row>
    <row r="134">
      <c r="A134" s="89" t="n"/>
      <c r="B134" s="135" t="n"/>
      <c r="C134" s="135" t="n"/>
      <c r="D134" s="135" t="n"/>
      <c r="E134" s="135" t="n"/>
      <c r="F134" s="135" t="n"/>
    </row>
    <row r="135">
      <c r="A135" s="89" t="n"/>
      <c r="B135" s="135" t="n"/>
      <c r="C135" s="135" t="n"/>
      <c r="D135" s="135" t="n"/>
      <c r="E135" s="135" t="n"/>
      <c r="F135" s="135" t="n"/>
    </row>
    <row r="136">
      <c r="A136" s="89" t="n"/>
      <c r="B136" s="135" t="n"/>
      <c r="C136" s="135" t="n"/>
      <c r="D136" s="135" t="n"/>
      <c r="E136" s="135" t="n"/>
      <c r="F136" s="135" t="n"/>
    </row>
    <row r="137">
      <c r="A137" s="89" t="n"/>
      <c r="B137" s="135" t="n"/>
      <c r="C137" s="135" t="n"/>
      <c r="D137" s="135" t="n"/>
      <c r="E137" s="135" t="n"/>
      <c r="F137" s="135" t="n"/>
    </row>
    <row r="138">
      <c r="A138" s="89" t="n"/>
      <c r="B138" s="135" t="n"/>
      <c r="C138" s="135" t="n"/>
      <c r="D138" s="135" t="n"/>
      <c r="E138" s="135" t="n"/>
      <c r="F138" s="135" t="n"/>
    </row>
    <row r="139">
      <c r="A139" s="89" t="n"/>
      <c r="B139" s="135" t="n"/>
      <c r="C139" s="135" t="n"/>
      <c r="D139" s="135" t="n"/>
      <c r="E139" s="135" t="n"/>
      <c r="F139" s="135" t="n"/>
    </row>
    <row r="140">
      <c r="A140" s="89" t="n"/>
      <c r="B140" s="135" t="n"/>
      <c r="C140" s="135" t="n"/>
      <c r="D140" s="135" t="n"/>
      <c r="E140" s="135" t="n"/>
      <c r="F140" s="135" t="n"/>
    </row>
    <row r="141">
      <c r="A141" s="89" t="n"/>
      <c r="B141" s="135" t="n"/>
      <c r="C141" s="135" t="n"/>
      <c r="D141" s="135" t="n"/>
      <c r="E141" s="135" t="n"/>
      <c r="F141" s="135" t="n"/>
    </row>
    <row r="142">
      <c r="A142" s="89" t="n"/>
      <c r="B142" s="135" t="n"/>
      <c r="C142" s="135" t="n"/>
      <c r="D142" s="135" t="n"/>
      <c r="E142" s="135" t="n"/>
      <c r="F142" s="135" t="n"/>
    </row>
    <row r="143">
      <c r="A143" s="89" t="n"/>
      <c r="B143" s="135" t="n"/>
      <c r="C143" s="135" t="n"/>
      <c r="D143" s="135" t="n"/>
      <c r="E143" s="135" t="n"/>
      <c r="F143" s="135" t="n"/>
    </row>
    <row r="144">
      <c r="A144" s="89" t="n"/>
      <c r="B144" s="135" t="n"/>
      <c r="C144" s="135" t="n"/>
      <c r="D144" s="135" t="n"/>
      <c r="E144" s="135" t="n"/>
      <c r="F144" s="135" t="n"/>
    </row>
    <row r="145">
      <c r="A145" s="89" t="n"/>
      <c r="B145" s="135" t="n"/>
      <c r="C145" s="135" t="n"/>
      <c r="D145" s="135" t="n"/>
      <c r="E145" s="135" t="n"/>
      <c r="F145" s="135" t="n"/>
    </row>
    <row r="146">
      <c r="A146" s="89" t="n"/>
      <c r="B146" s="135" t="n"/>
      <c r="C146" s="135" t="n"/>
      <c r="D146" s="135" t="n"/>
      <c r="E146" s="135" t="n"/>
      <c r="F146" s="135" t="n"/>
    </row>
    <row r="147">
      <c r="A147" s="89" t="n"/>
      <c r="B147" s="135" t="n"/>
      <c r="C147" s="135" t="n"/>
      <c r="D147" s="135" t="n"/>
      <c r="E147" s="135" t="n"/>
      <c r="F147" s="135" t="n"/>
    </row>
    <row r="148">
      <c r="A148" s="89" t="n"/>
      <c r="B148" s="135" t="n"/>
      <c r="C148" s="135" t="n"/>
      <c r="D148" s="135" t="n"/>
      <c r="E148" s="135" t="n"/>
      <c r="F148" s="135" t="n"/>
    </row>
    <row r="149">
      <c r="A149" s="89" t="n"/>
      <c r="B149" s="135" t="n"/>
      <c r="C149" s="135" t="n"/>
      <c r="D149" s="135" t="n"/>
      <c r="E149" s="135" t="n"/>
      <c r="F149" s="135" t="n"/>
    </row>
    <row r="150">
      <c r="A150" s="89" t="n"/>
      <c r="B150" s="135" t="n"/>
      <c r="C150" s="135" t="n"/>
      <c r="D150" s="135" t="n"/>
      <c r="E150" s="135" t="n"/>
      <c r="F150" s="135" t="n"/>
    </row>
    <row r="151">
      <c r="A151" s="89" t="n"/>
      <c r="B151" s="135" t="n"/>
      <c r="C151" s="135" t="n"/>
      <c r="D151" s="135" t="n"/>
      <c r="E151" s="135" t="n"/>
      <c r="F151" s="135" t="n"/>
    </row>
    <row r="152">
      <c r="A152" s="89" t="n"/>
      <c r="B152" s="135" t="n"/>
      <c r="C152" s="135" t="n"/>
      <c r="D152" s="135" t="n"/>
      <c r="E152" s="135" t="n"/>
      <c r="F152" s="135" t="n"/>
    </row>
    <row r="153">
      <c r="A153" s="89" t="n"/>
      <c r="B153" s="135" t="n"/>
      <c r="C153" s="135" t="n"/>
      <c r="D153" s="135" t="n"/>
      <c r="E153" s="135" t="n"/>
      <c r="F153" s="135" t="n"/>
    </row>
    <row r="154">
      <c r="A154" s="89" t="n"/>
      <c r="B154" s="135" t="n"/>
      <c r="C154" s="135" t="n"/>
      <c r="D154" s="135" t="n"/>
      <c r="E154" s="135" t="n"/>
      <c r="F154" s="135" t="n"/>
    </row>
    <row r="155">
      <c r="A155" s="89" t="n"/>
      <c r="B155" s="135" t="n"/>
      <c r="C155" s="135" t="n"/>
      <c r="D155" s="135" t="n"/>
      <c r="E155" s="135" t="n"/>
      <c r="F155" s="135" t="n"/>
    </row>
    <row r="156">
      <c r="A156" s="89" t="n"/>
      <c r="B156" s="135" t="n"/>
      <c r="C156" s="135" t="n"/>
      <c r="D156" s="135" t="n"/>
      <c r="E156" s="135" t="n"/>
      <c r="F156" s="135" t="n"/>
    </row>
    <row r="157">
      <c r="A157" s="89" t="n"/>
      <c r="B157" s="135" t="n"/>
      <c r="C157" s="135" t="n"/>
      <c r="D157" s="135" t="n"/>
      <c r="E157" s="135" t="n"/>
      <c r="F157" s="135" t="n"/>
    </row>
    <row r="158">
      <c r="A158" s="89" t="n"/>
      <c r="B158" s="135" t="n"/>
      <c r="C158" s="135" t="n"/>
      <c r="D158" s="135" t="n"/>
      <c r="E158" s="135" t="n"/>
      <c r="F158" s="135" t="n"/>
    </row>
    <row r="159">
      <c r="A159" s="89" t="n"/>
      <c r="B159" s="135" t="n"/>
      <c r="C159" s="135" t="n"/>
      <c r="D159" s="135" t="n"/>
      <c r="E159" s="135" t="n"/>
      <c r="F159" s="135" t="n"/>
    </row>
    <row r="160">
      <c r="A160" s="89" t="n"/>
      <c r="B160" s="135" t="n"/>
      <c r="C160" s="135" t="n"/>
      <c r="D160" s="135" t="n"/>
      <c r="E160" s="135" t="n"/>
      <c r="F160" s="135" t="n"/>
    </row>
    <row r="161">
      <c r="A161" s="89" t="n"/>
      <c r="B161" s="135" t="n"/>
      <c r="C161" s="135" t="n"/>
      <c r="D161" s="135" t="n"/>
      <c r="E161" s="135" t="n"/>
      <c r="F161" s="135" t="n"/>
    </row>
    <row r="162">
      <c r="A162" s="89" t="n"/>
      <c r="B162" s="135" t="n"/>
      <c r="C162" s="135" t="n"/>
      <c r="D162" s="135" t="n"/>
      <c r="E162" s="135" t="n"/>
      <c r="F162" s="135" t="n"/>
    </row>
    <row r="163">
      <c r="A163" s="89" t="n"/>
      <c r="B163" s="135" t="n"/>
      <c r="C163" s="135" t="n"/>
      <c r="D163" s="135" t="n"/>
      <c r="E163" s="135" t="n"/>
      <c r="F163" s="135" t="n"/>
    </row>
    <row r="164">
      <c r="A164" s="89" t="n"/>
      <c r="B164" s="135" t="n"/>
      <c r="C164" s="135" t="n"/>
      <c r="D164" s="135" t="n"/>
      <c r="E164" s="135" t="n"/>
      <c r="F164" s="135" t="n"/>
    </row>
    <row r="165">
      <c r="A165" s="89" t="n"/>
      <c r="B165" s="135" t="n"/>
      <c r="C165" s="135" t="n"/>
      <c r="D165" s="135" t="n"/>
      <c r="E165" s="135" t="n"/>
      <c r="F165" s="135" t="n"/>
    </row>
    <row r="166">
      <c r="A166" s="89" t="n"/>
      <c r="B166" s="135" t="n"/>
      <c r="C166" s="135" t="n"/>
      <c r="D166" s="135" t="n"/>
      <c r="E166" s="135" t="n"/>
      <c r="F166" s="135" t="n"/>
    </row>
    <row r="167">
      <c r="A167" s="89" t="n"/>
      <c r="B167" s="135" t="n"/>
      <c r="C167" s="135" t="n"/>
      <c r="D167" s="135" t="n"/>
      <c r="E167" s="135" t="n"/>
      <c r="F167" s="135" t="n"/>
    </row>
    <row r="168">
      <c r="A168" s="89" t="n"/>
      <c r="B168" s="135" t="n"/>
      <c r="C168" s="135" t="n"/>
      <c r="D168" s="135" t="n"/>
      <c r="E168" s="135" t="n"/>
      <c r="F168" s="135" t="n"/>
    </row>
    <row r="169">
      <c r="A169" s="89" t="n"/>
      <c r="B169" s="135" t="n"/>
      <c r="C169" s="135" t="n"/>
      <c r="D169" s="135" t="n"/>
      <c r="E169" s="135" t="n"/>
      <c r="F169" s="135" t="n"/>
    </row>
    <row r="170">
      <c r="A170" s="89" t="n"/>
      <c r="B170" s="135" t="n"/>
      <c r="C170" s="135" t="n"/>
      <c r="D170" s="135" t="n"/>
      <c r="E170" s="135" t="n"/>
      <c r="F170" s="135" t="n"/>
    </row>
    <row r="171">
      <c r="A171" s="89" t="n"/>
      <c r="B171" s="135" t="n"/>
      <c r="C171" s="135" t="n"/>
      <c r="D171" s="135" t="n"/>
      <c r="E171" s="135" t="n"/>
      <c r="F171" s="135" t="n"/>
    </row>
    <row r="172">
      <c r="A172" s="89" t="n"/>
      <c r="B172" s="135" t="n"/>
      <c r="C172" s="135" t="n"/>
      <c r="D172" s="135" t="n"/>
      <c r="E172" s="135" t="n"/>
      <c r="F172" s="135" t="n"/>
    </row>
    <row r="173">
      <c r="A173" s="89" t="n"/>
      <c r="B173" s="135" t="n"/>
      <c r="C173" s="135" t="n"/>
      <c r="D173" s="135" t="n"/>
      <c r="E173" s="135" t="n"/>
      <c r="F173" s="135" t="n"/>
    </row>
    <row r="174">
      <c r="A174" s="89" t="n"/>
      <c r="B174" s="135" t="n"/>
      <c r="C174" s="135" t="n"/>
      <c r="D174" s="135" t="n"/>
      <c r="E174" s="135" t="n"/>
      <c r="F174" s="135" t="n"/>
    </row>
    <row r="175">
      <c r="A175" s="89" t="n"/>
      <c r="B175" s="135" t="n"/>
      <c r="C175" s="135" t="n"/>
      <c r="D175" s="135" t="n"/>
      <c r="E175" s="135" t="n"/>
      <c r="F175" s="135" t="n"/>
    </row>
    <row r="176">
      <c r="A176" s="89" t="n"/>
      <c r="B176" s="135" t="n"/>
      <c r="C176" s="135" t="n"/>
      <c r="D176" s="135" t="n"/>
      <c r="E176" s="135" t="n"/>
      <c r="F176" s="135" t="n"/>
    </row>
    <row r="177">
      <c r="A177" s="89" t="n"/>
      <c r="B177" s="135" t="n"/>
      <c r="C177" s="135" t="n"/>
      <c r="D177" s="135" t="n"/>
      <c r="E177" s="135" t="n"/>
      <c r="F177" s="135" t="n"/>
    </row>
    <row r="178">
      <c r="A178" s="89" t="n"/>
      <c r="B178" s="135" t="n"/>
      <c r="C178" s="135" t="n"/>
      <c r="D178" s="135" t="n"/>
      <c r="E178" s="135" t="n"/>
      <c r="F178" s="135" t="n"/>
    </row>
    <row r="179">
      <c r="A179" s="89" t="n"/>
      <c r="B179" s="135" t="n"/>
      <c r="C179" s="135" t="n"/>
      <c r="D179" s="135" t="n"/>
      <c r="E179" s="135" t="n"/>
      <c r="F179" s="135" t="n"/>
    </row>
    <row r="180">
      <c r="A180" s="89" t="n"/>
      <c r="B180" s="135" t="n"/>
      <c r="C180" s="135" t="n"/>
      <c r="D180" s="135" t="n"/>
      <c r="E180" s="135" t="n"/>
      <c r="F180" s="135" t="n"/>
    </row>
    <row r="181">
      <c r="A181" s="89" t="n"/>
      <c r="B181" s="135" t="n"/>
      <c r="C181" s="135" t="n"/>
      <c r="D181" s="135" t="n"/>
      <c r="E181" s="135" t="n"/>
      <c r="F181" s="135" t="n"/>
    </row>
    <row r="182">
      <c r="A182" s="89" t="n"/>
      <c r="B182" s="135" t="n"/>
      <c r="C182" s="135" t="n"/>
      <c r="D182" s="135" t="n"/>
      <c r="E182" s="135" t="n"/>
      <c r="F182" s="135" t="n"/>
    </row>
    <row r="183">
      <c r="A183" s="89" t="n"/>
      <c r="B183" s="135" t="n"/>
      <c r="C183" s="135" t="n"/>
      <c r="D183" s="135" t="n"/>
      <c r="E183" s="135" t="n"/>
      <c r="F183" s="135" t="n"/>
    </row>
    <row r="184">
      <c r="A184" s="89" t="n"/>
      <c r="B184" s="135" t="n"/>
      <c r="C184" s="135" t="n"/>
      <c r="D184" s="135" t="n"/>
      <c r="E184" s="135" t="n"/>
      <c r="F184" s="135" t="n"/>
    </row>
    <row r="185">
      <c r="A185" s="89" t="n"/>
      <c r="B185" s="135" t="n"/>
      <c r="C185" s="135" t="n"/>
      <c r="D185" s="135" t="n"/>
      <c r="E185" s="135" t="n"/>
      <c r="F185" s="135" t="n"/>
    </row>
    <row r="186">
      <c r="A186" s="89" t="n"/>
      <c r="B186" s="135" t="n"/>
      <c r="C186" s="135" t="n"/>
      <c r="D186" s="135" t="n"/>
      <c r="E186" s="135" t="n"/>
      <c r="F186" s="135" t="n"/>
    </row>
    <row r="187">
      <c r="A187" s="89" t="n"/>
      <c r="B187" s="135" t="n"/>
      <c r="C187" s="135" t="n"/>
      <c r="D187" s="135" t="n"/>
      <c r="E187" s="135" t="n"/>
      <c r="F187" s="135" t="n"/>
    </row>
    <row r="188">
      <c r="A188" s="89" t="n"/>
      <c r="B188" s="135" t="n"/>
      <c r="C188" s="135" t="n"/>
      <c r="D188" s="135" t="n"/>
      <c r="E188" s="135" t="n"/>
      <c r="F188" s="135" t="n"/>
    </row>
    <row r="189">
      <c r="A189" s="89" t="n"/>
      <c r="B189" s="135" t="n"/>
      <c r="C189" s="135" t="n"/>
      <c r="D189" s="135" t="n"/>
      <c r="E189" s="135" t="n"/>
      <c r="F189" s="135" t="n"/>
    </row>
    <row r="190">
      <c r="A190" s="89" t="n"/>
      <c r="B190" s="135" t="n"/>
      <c r="C190" s="135" t="n"/>
      <c r="D190" s="135" t="n"/>
      <c r="E190" s="135" t="n"/>
      <c r="F190" s="135" t="n"/>
    </row>
    <row r="191">
      <c r="A191" s="89" t="n"/>
      <c r="B191" s="135" t="n"/>
      <c r="C191" s="135" t="n"/>
      <c r="D191" s="135" t="n"/>
      <c r="E191" s="135" t="n"/>
      <c r="F191" s="135" t="n"/>
    </row>
    <row r="192">
      <c r="A192" s="89" t="n"/>
      <c r="B192" s="135" t="n"/>
      <c r="C192" s="135" t="n"/>
      <c r="D192" s="135" t="n"/>
      <c r="E192" s="135" t="n"/>
      <c r="F192" s="135" t="n"/>
    </row>
    <row r="193">
      <c r="A193" s="89" t="n"/>
      <c r="B193" s="135" t="n"/>
      <c r="C193" s="135" t="n"/>
      <c r="D193" s="135" t="n"/>
      <c r="E193" s="135" t="n"/>
      <c r="F193" s="135" t="n"/>
    </row>
    <row r="194">
      <c r="A194" s="89" t="n"/>
      <c r="B194" s="135" t="n"/>
      <c r="C194" s="135" t="n"/>
      <c r="D194" s="135" t="n"/>
      <c r="E194" s="135" t="n"/>
      <c r="F194" s="135" t="n"/>
    </row>
    <row r="195">
      <c r="A195" s="89" t="n"/>
      <c r="B195" s="135" t="n"/>
      <c r="C195" s="135" t="n"/>
      <c r="D195" s="135" t="n"/>
      <c r="E195" s="135" t="n"/>
      <c r="F195" s="135" t="n"/>
    </row>
    <row r="196">
      <c r="A196" s="89" t="n"/>
      <c r="B196" s="135" t="n"/>
      <c r="C196" s="135" t="n"/>
      <c r="D196" s="135" t="n"/>
      <c r="E196" s="135" t="n"/>
      <c r="F196" s="135" t="n"/>
    </row>
    <row r="197">
      <c r="A197" s="89" t="n"/>
      <c r="B197" s="135" t="n"/>
      <c r="C197" s="135" t="n"/>
      <c r="D197" s="135" t="n"/>
      <c r="E197" s="135" t="n"/>
      <c r="F197" s="135" t="n"/>
    </row>
    <row r="198">
      <c r="A198" s="89" t="n"/>
      <c r="B198" s="135" t="n"/>
      <c r="C198" s="135" t="n"/>
      <c r="D198" s="135" t="n"/>
      <c r="E198" s="135" t="n"/>
      <c r="F198" s="135" t="n"/>
    </row>
    <row r="199">
      <c r="A199" s="89" t="n"/>
      <c r="B199" s="135" t="n"/>
      <c r="C199" s="135" t="n"/>
      <c r="D199" s="135" t="n"/>
      <c r="E199" s="135" t="n"/>
      <c r="F199" s="135" t="n"/>
    </row>
    <row r="200">
      <c r="A200" s="89" t="n"/>
      <c r="B200" s="135" t="n"/>
      <c r="C200" s="135" t="n"/>
      <c r="D200" s="135" t="n"/>
      <c r="E200" s="135" t="n"/>
      <c r="F200" s="135" t="n"/>
    </row>
    <row r="201">
      <c r="A201" s="89" t="n"/>
      <c r="B201" s="135" t="n"/>
      <c r="C201" s="135" t="n"/>
      <c r="D201" s="135" t="n"/>
      <c r="E201" s="135" t="n"/>
      <c r="F201" s="135" t="n"/>
    </row>
    <row r="202">
      <c r="A202" s="89" t="n"/>
      <c r="B202" s="135" t="n"/>
      <c r="C202" s="135" t="n"/>
      <c r="D202" s="135" t="n"/>
      <c r="E202" s="135" t="n"/>
      <c r="F202" s="135" t="n"/>
    </row>
    <row r="203">
      <c r="A203" s="89" t="n"/>
      <c r="B203" s="135" t="n"/>
      <c r="C203" s="135" t="n"/>
      <c r="D203" s="135" t="n"/>
      <c r="E203" s="135" t="n"/>
      <c r="F203" s="135" t="n"/>
    </row>
    <row r="204">
      <c r="A204" s="89" t="n"/>
      <c r="B204" s="135" t="n"/>
      <c r="C204" s="135" t="n"/>
      <c r="D204" s="135" t="n"/>
      <c r="E204" s="135" t="n"/>
      <c r="F204" s="135" t="n"/>
    </row>
    <row r="205">
      <c r="A205" s="89" t="n"/>
      <c r="B205" s="135" t="n"/>
      <c r="C205" s="135" t="n"/>
      <c r="D205" s="135" t="n"/>
      <c r="E205" s="135" t="n"/>
      <c r="F205" s="135" t="n"/>
    </row>
    <row r="206">
      <c r="A206" s="89" t="n"/>
      <c r="B206" s="135" t="n"/>
      <c r="C206" s="135" t="n"/>
      <c r="D206" s="135" t="n"/>
      <c r="E206" s="135" t="n"/>
      <c r="F206" s="135" t="n"/>
    </row>
    <row r="207">
      <c r="A207" s="89" t="n"/>
      <c r="B207" s="135" t="n"/>
      <c r="C207" s="135" t="n"/>
      <c r="D207" s="135" t="n"/>
      <c r="E207" s="135" t="n"/>
      <c r="F207" s="135" t="n"/>
    </row>
    <row r="208">
      <c r="A208" s="89" t="n"/>
      <c r="B208" s="135" t="n"/>
      <c r="C208" s="135" t="n"/>
      <c r="D208" s="135" t="n"/>
      <c r="E208" s="135" t="n"/>
      <c r="F208" s="135" t="n"/>
    </row>
    <row r="209">
      <c r="A209" s="89" t="n"/>
      <c r="B209" s="135" t="n"/>
      <c r="C209" s="135" t="n"/>
      <c r="D209" s="135" t="n"/>
      <c r="E209" s="135" t="n"/>
      <c r="F209" s="135" t="n"/>
    </row>
    <row r="210">
      <c r="A210" s="89" t="n"/>
      <c r="B210" s="135" t="n"/>
      <c r="C210" s="135" t="n"/>
      <c r="D210" s="135" t="n"/>
      <c r="E210" s="135" t="n"/>
      <c r="F210" s="135" t="n"/>
    </row>
    <row r="211">
      <c r="A211" s="89" t="n"/>
      <c r="B211" s="135" t="n"/>
      <c r="C211" s="135" t="n"/>
      <c r="D211" s="135" t="n"/>
      <c r="E211" s="135" t="n"/>
      <c r="F211" s="135" t="n"/>
    </row>
    <row r="212">
      <c r="A212" s="89" t="n"/>
      <c r="B212" s="135" t="n"/>
      <c r="C212" s="135" t="n"/>
      <c r="D212" s="135" t="n"/>
      <c r="E212" s="135" t="n"/>
      <c r="F212" s="135" t="n"/>
    </row>
    <row r="213">
      <c r="A213" s="89" t="n"/>
      <c r="B213" s="135" t="n"/>
      <c r="C213" s="135" t="n"/>
      <c r="D213" s="135" t="n"/>
      <c r="E213" s="135" t="n"/>
      <c r="F213" s="135" t="n"/>
    </row>
    <row r="214">
      <c r="A214" s="89" t="n"/>
      <c r="B214" s="135" t="n"/>
      <c r="C214" s="135" t="n"/>
      <c r="D214" s="135" t="n"/>
      <c r="E214" s="135" t="n"/>
      <c r="F214" s="135" t="n"/>
    </row>
    <row r="215">
      <c r="A215" s="89" t="n"/>
      <c r="B215" s="135" t="n"/>
      <c r="C215" s="135" t="n"/>
      <c r="D215" s="135" t="n"/>
      <c r="E215" s="135" t="n"/>
      <c r="F215" s="135" t="n"/>
    </row>
    <row r="216">
      <c r="A216" s="89" t="n"/>
      <c r="B216" s="135" t="n"/>
      <c r="C216" s="135" t="n"/>
      <c r="D216" s="135" t="n"/>
      <c r="E216" s="135" t="n"/>
      <c r="F216" s="135" t="n"/>
    </row>
    <row r="217">
      <c r="A217" s="89" t="n"/>
      <c r="B217" s="135" t="n"/>
      <c r="C217" s="135" t="n"/>
      <c r="D217" s="135" t="n"/>
      <c r="E217" s="135" t="n"/>
      <c r="F217" s="135" t="n"/>
    </row>
    <row r="218">
      <c r="A218" s="89" t="n"/>
      <c r="B218" s="135" t="n"/>
      <c r="C218" s="135" t="n"/>
      <c r="D218" s="135" t="n"/>
      <c r="E218" s="135" t="n"/>
      <c r="F218" s="135" t="n"/>
    </row>
    <row r="219">
      <c r="A219" s="89" t="n"/>
      <c r="B219" s="135" t="n"/>
      <c r="C219" s="135" t="n"/>
      <c r="D219" s="135" t="n"/>
      <c r="E219" s="135" t="n"/>
      <c r="F219" s="135" t="n"/>
    </row>
    <row r="220">
      <c r="A220" s="89" t="n"/>
      <c r="B220" s="135" t="n"/>
      <c r="C220" s="135" t="n"/>
      <c r="D220" s="135" t="n"/>
      <c r="E220" s="135" t="n"/>
      <c r="F220" s="135" t="n"/>
    </row>
    <row r="221">
      <c r="A221" s="89" t="n"/>
      <c r="B221" s="135" t="n"/>
      <c r="C221" s="135" t="n"/>
      <c r="D221" s="135" t="n"/>
      <c r="E221" s="135" t="n"/>
      <c r="F221" s="135" t="n"/>
    </row>
    <row r="222">
      <c r="A222" s="89" t="n"/>
      <c r="B222" s="135" t="n"/>
      <c r="C222" s="135" t="n"/>
      <c r="D222" s="135" t="n"/>
      <c r="E222" s="135" t="n"/>
      <c r="F222" s="135" t="n"/>
    </row>
    <row r="223">
      <c r="A223" s="89" t="n"/>
      <c r="B223" s="135" t="n"/>
      <c r="C223" s="135" t="n"/>
      <c r="D223" s="135" t="n"/>
      <c r="E223" s="135" t="n"/>
      <c r="F223" s="135" t="n"/>
    </row>
    <row r="224">
      <c r="A224" s="89" t="n"/>
      <c r="B224" s="135" t="n"/>
      <c r="C224" s="135" t="n"/>
      <c r="D224" s="135" t="n"/>
      <c r="E224" s="135" t="n"/>
      <c r="F224" s="135" t="n"/>
    </row>
    <row r="225">
      <c r="A225" s="89" t="n"/>
      <c r="B225" s="135" t="n"/>
      <c r="C225" s="135" t="n"/>
      <c r="D225" s="135" t="n"/>
      <c r="E225" s="135" t="n"/>
      <c r="F225" s="135" t="n"/>
    </row>
    <row r="226">
      <c r="A226" s="89" t="n"/>
      <c r="B226" s="135" t="n"/>
      <c r="C226" s="135" t="n"/>
      <c r="D226" s="135" t="n"/>
      <c r="E226" s="135" t="n"/>
      <c r="F226" s="135" t="n"/>
    </row>
    <row r="227">
      <c r="A227" s="89" t="n"/>
      <c r="B227" s="135" t="n"/>
      <c r="C227" s="135" t="n"/>
      <c r="D227" s="135" t="n"/>
      <c r="E227" s="135" t="n"/>
      <c r="F227" s="135" t="n"/>
    </row>
    <row r="228">
      <c r="A228" s="89" t="n"/>
      <c r="B228" s="135" t="n"/>
      <c r="C228" s="135" t="n"/>
      <c r="D228" s="135" t="n"/>
      <c r="E228" s="135" t="n"/>
      <c r="F228" s="135" t="n"/>
    </row>
    <row r="229">
      <c r="A229" s="89" t="n"/>
      <c r="B229" s="135" t="n"/>
      <c r="C229" s="135" t="n"/>
      <c r="D229" s="135" t="n"/>
      <c r="E229" s="135" t="n"/>
      <c r="F229" s="135" t="n"/>
    </row>
    <row r="230">
      <c r="A230" s="89" t="n"/>
      <c r="B230" s="135" t="n"/>
      <c r="C230" s="135" t="n"/>
      <c r="D230" s="135" t="n"/>
      <c r="E230" s="135" t="n"/>
      <c r="F230" s="135" t="n"/>
    </row>
    <row r="231">
      <c r="A231" s="89" t="n"/>
      <c r="B231" s="135" t="n"/>
      <c r="C231" s="135" t="n"/>
      <c r="D231" s="135" t="n"/>
      <c r="E231" s="135" t="n"/>
      <c r="F231" s="135" t="n"/>
    </row>
    <row r="232">
      <c r="A232" s="89" t="n"/>
      <c r="B232" s="135" t="n"/>
      <c r="C232" s="135" t="n"/>
      <c r="D232" s="135" t="n"/>
      <c r="E232" s="135" t="n"/>
      <c r="F232" s="135" t="n"/>
    </row>
    <row r="233">
      <c r="A233" s="89" t="n"/>
      <c r="B233" s="135" t="n"/>
      <c r="C233" s="135" t="n"/>
      <c r="D233" s="135" t="n"/>
      <c r="E233" s="135" t="n"/>
      <c r="F233" s="135" t="n"/>
    </row>
    <row r="234">
      <c r="A234" s="89" t="n"/>
      <c r="B234" s="135" t="n"/>
      <c r="C234" s="135" t="n"/>
      <c r="D234" s="135" t="n"/>
      <c r="E234" s="135" t="n"/>
      <c r="F234" s="135" t="n"/>
    </row>
    <row r="235">
      <c r="A235" s="89" t="n"/>
      <c r="B235" s="135" t="n"/>
      <c r="C235" s="135" t="n"/>
      <c r="D235" s="135" t="n"/>
      <c r="E235" s="135" t="n"/>
      <c r="F235" s="135" t="n"/>
    </row>
    <row r="236">
      <c r="A236" s="89" t="n"/>
      <c r="B236" s="135" t="n"/>
      <c r="C236" s="135" t="n"/>
      <c r="D236" s="135" t="n"/>
      <c r="E236" s="135" t="n"/>
      <c r="F236" s="135" t="n"/>
    </row>
    <row r="237">
      <c r="A237" s="89" t="n"/>
      <c r="B237" s="135" t="n"/>
      <c r="C237" s="135" t="n"/>
      <c r="D237" s="135" t="n"/>
      <c r="E237" s="135" t="n"/>
      <c r="F237" s="135" t="n"/>
    </row>
    <row r="238">
      <c r="A238" s="89" t="n"/>
      <c r="B238" s="135" t="n"/>
      <c r="C238" s="135" t="n"/>
      <c r="D238" s="135" t="n"/>
      <c r="E238" s="135" t="n"/>
      <c r="F238" s="135" t="n"/>
    </row>
    <row r="239">
      <c r="A239" s="89" t="n"/>
      <c r="B239" s="135" t="n"/>
      <c r="C239" s="135" t="n"/>
      <c r="D239" s="135" t="n"/>
      <c r="E239" s="135" t="n"/>
      <c r="F239" s="135" t="n"/>
    </row>
    <row r="240">
      <c r="A240" s="89" t="n"/>
      <c r="B240" s="135" t="n"/>
      <c r="C240" s="135" t="n"/>
      <c r="D240" s="135" t="n"/>
      <c r="E240" s="135" t="n"/>
      <c r="F240" s="135" t="n"/>
    </row>
    <row r="241">
      <c r="A241" s="89" t="n"/>
      <c r="B241" s="135" t="n"/>
      <c r="C241" s="135" t="n"/>
      <c r="D241" s="135" t="n"/>
      <c r="E241" s="135" t="n"/>
      <c r="F241" s="135" t="n"/>
    </row>
    <row r="242">
      <c r="A242" s="89" t="n"/>
      <c r="B242" s="135" t="n"/>
      <c r="C242" s="135" t="n"/>
      <c r="D242" s="135" t="n"/>
      <c r="E242" s="135" t="n"/>
      <c r="F242" s="135" t="n"/>
    </row>
    <row r="243">
      <c r="A243" s="89" t="n"/>
      <c r="B243" s="135" t="n"/>
      <c r="C243" s="135" t="n"/>
      <c r="D243" s="135" t="n"/>
      <c r="E243" s="135" t="n"/>
      <c r="F243" s="135" t="n"/>
    </row>
    <row r="244">
      <c r="A244" s="89" t="n"/>
      <c r="B244" s="135" t="n"/>
      <c r="C244" s="135" t="n"/>
      <c r="D244" s="135" t="n"/>
      <c r="E244" s="135" t="n"/>
      <c r="F244" s="135" t="n"/>
    </row>
    <row r="245">
      <c r="A245" s="89" t="n"/>
      <c r="B245" s="135" t="n"/>
      <c r="C245" s="135" t="n"/>
      <c r="D245" s="135" t="n"/>
      <c r="E245" s="135" t="n"/>
      <c r="F245" s="135" t="n"/>
    </row>
    <row r="246">
      <c r="A246" s="89" t="n"/>
      <c r="B246" s="135" t="n"/>
      <c r="C246" s="135" t="n"/>
      <c r="D246" s="135" t="n"/>
      <c r="E246" s="135" t="n"/>
      <c r="F246" s="135" t="n"/>
    </row>
    <row r="247">
      <c r="A247" s="89" t="n"/>
      <c r="B247" s="135" t="n"/>
      <c r="C247" s="135" t="n"/>
      <c r="D247" s="135" t="n"/>
      <c r="E247" s="135" t="n"/>
      <c r="F247" s="135" t="n"/>
    </row>
    <row r="248">
      <c r="A248" s="89" t="n"/>
      <c r="B248" s="135" t="n"/>
      <c r="C248" s="135" t="n"/>
      <c r="D248" s="135" t="n"/>
      <c r="E248" s="135" t="n"/>
      <c r="F248" s="135" t="n"/>
    </row>
    <row r="249">
      <c r="A249" s="89" t="n"/>
      <c r="B249" s="135" t="n"/>
      <c r="C249" s="135" t="n"/>
      <c r="D249" s="135" t="n"/>
      <c r="E249" s="135" t="n"/>
      <c r="F249" s="135" t="n"/>
    </row>
    <row r="250">
      <c r="A250" s="89" t="n"/>
      <c r="B250" s="135" t="n"/>
      <c r="C250" s="135" t="n"/>
      <c r="D250" s="135" t="n"/>
      <c r="E250" s="135" t="n"/>
      <c r="F250" s="135" t="n"/>
    </row>
    <row r="251">
      <c r="A251" s="89" t="n"/>
      <c r="B251" s="135" t="n"/>
      <c r="C251" s="135" t="n"/>
      <c r="D251" s="135" t="n"/>
      <c r="E251" s="135" t="n"/>
      <c r="F251" s="135" t="n"/>
    </row>
    <row r="252">
      <c r="A252" s="89" t="n"/>
      <c r="B252" s="135" t="n"/>
      <c r="C252" s="135" t="n"/>
      <c r="D252" s="135" t="n"/>
      <c r="E252" s="135" t="n"/>
      <c r="F252" s="135" t="n"/>
    </row>
    <row r="253">
      <c r="A253" s="89" t="n"/>
      <c r="B253" s="135" t="n"/>
      <c r="C253" s="135" t="n"/>
      <c r="D253" s="135" t="n"/>
      <c r="E253" s="135" t="n"/>
      <c r="F253" s="135" t="n"/>
    </row>
    <row r="254">
      <c r="A254" s="89" t="n"/>
      <c r="B254" s="135" t="n"/>
      <c r="C254" s="135" t="n"/>
      <c r="D254" s="135" t="n"/>
      <c r="E254" s="135" t="n"/>
      <c r="F254" s="135" t="n"/>
    </row>
    <row r="255">
      <c r="A255" s="89" t="n"/>
      <c r="B255" s="135" t="n"/>
      <c r="C255" s="135" t="n"/>
      <c r="D255" s="135" t="n"/>
      <c r="E255" s="135" t="n"/>
      <c r="F255" s="135" t="n"/>
    </row>
    <row r="256">
      <c r="A256" s="89" t="n"/>
      <c r="B256" s="135" t="n"/>
      <c r="C256" s="135" t="n"/>
      <c r="D256" s="135" t="n"/>
      <c r="E256" s="135" t="n"/>
      <c r="F256" s="135" t="n"/>
    </row>
    <row r="257">
      <c r="A257" s="89" t="n"/>
      <c r="B257" s="135" t="n"/>
      <c r="C257" s="135" t="n"/>
      <c r="D257" s="135" t="n"/>
      <c r="E257" s="135" t="n"/>
      <c r="F257" s="135" t="n"/>
    </row>
    <row r="258">
      <c r="A258" s="89" t="n"/>
      <c r="B258" s="135" t="n"/>
      <c r="C258" s="135" t="n"/>
      <c r="D258" s="135" t="n"/>
      <c r="E258" s="135" t="n"/>
      <c r="F258" s="135" t="n"/>
    </row>
    <row r="259">
      <c r="A259" s="89" t="n"/>
      <c r="B259" s="135" t="n"/>
      <c r="C259" s="135" t="n"/>
      <c r="D259" s="135" t="n"/>
      <c r="E259" s="135" t="n"/>
      <c r="F259" s="135" t="n"/>
    </row>
    <row r="260">
      <c r="A260" s="89" t="n"/>
      <c r="B260" s="135" t="n"/>
      <c r="C260" s="135" t="n"/>
      <c r="D260" s="135" t="n"/>
      <c r="E260" s="135" t="n"/>
      <c r="F260" s="135" t="n"/>
    </row>
    <row r="261">
      <c r="A261" s="89" t="n"/>
      <c r="B261" s="135" t="n"/>
      <c r="C261" s="135" t="n"/>
      <c r="D261" s="135" t="n"/>
      <c r="E261" s="135" t="n"/>
      <c r="F261" s="135" t="n"/>
    </row>
    <row r="262">
      <c r="A262" s="89" t="n"/>
      <c r="B262" s="135" t="n"/>
      <c r="C262" s="135" t="n"/>
      <c r="D262" s="135" t="n"/>
      <c r="E262" s="135" t="n"/>
      <c r="F262" s="135" t="n"/>
    </row>
    <row r="263">
      <c r="A263" s="89" t="n"/>
      <c r="B263" s="135" t="n"/>
      <c r="C263" s="135" t="n"/>
      <c r="D263" s="135" t="n"/>
      <c r="E263" s="135" t="n"/>
      <c r="F263" s="135" t="n"/>
    </row>
    <row r="264">
      <c r="A264" s="89" t="n"/>
      <c r="B264" s="135" t="n"/>
      <c r="C264" s="135" t="n"/>
      <c r="D264" s="135" t="n"/>
      <c r="E264" s="135" t="n"/>
      <c r="F264" s="135" t="n"/>
    </row>
    <row r="265">
      <c r="A265" s="89" t="n"/>
      <c r="B265" s="135" t="n"/>
      <c r="C265" s="135" t="n"/>
      <c r="D265" s="135" t="n"/>
      <c r="E265" s="135" t="n"/>
      <c r="F265" s="135" t="n"/>
    </row>
    <row r="266">
      <c r="A266" s="89" t="n"/>
      <c r="B266" s="135" t="n"/>
      <c r="C266" s="135" t="n"/>
      <c r="D266" s="135" t="n"/>
      <c r="E266" s="135" t="n"/>
      <c r="F266" s="135" t="n"/>
    </row>
    <row r="267">
      <c r="A267" s="89" t="n"/>
      <c r="B267" s="135" t="n"/>
      <c r="C267" s="135" t="n"/>
      <c r="D267" s="135" t="n"/>
      <c r="E267" s="135" t="n"/>
      <c r="F267" s="135" t="n"/>
    </row>
    <row r="268">
      <c r="A268" s="89" t="n"/>
      <c r="B268" s="135" t="n"/>
      <c r="C268" s="135" t="n"/>
      <c r="D268" s="135" t="n"/>
      <c r="E268" s="135" t="n"/>
      <c r="F268" s="135" t="n"/>
    </row>
    <row r="269">
      <c r="A269" s="89" t="n"/>
      <c r="B269" s="135" t="n"/>
      <c r="C269" s="135" t="n"/>
      <c r="D269" s="135" t="n"/>
      <c r="E269" s="135" t="n"/>
      <c r="F269" s="135" t="n"/>
    </row>
    <row r="270">
      <c r="A270" s="89" t="n"/>
      <c r="B270" s="135" t="n"/>
      <c r="C270" s="135" t="n"/>
      <c r="D270" s="135" t="n"/>
      <c r="E270" s="135" t="n"/>
      <c r="F270" s="135" t="n"/>
    </row>
    <row r="271">
      <c r="A271" s="89" t="n"/>
      <c r="B271" s="135" t="n"/>
      <c r="C271" s="135" t="n"/>
      <c r="D271" s="135" t="n"/>
      <c r="E271" s="135" t="n"/>
      <c r="F271" s="135" t="n"/>
    </row>
    <row r="272">
      <c r="A272" s="89" t="n"/>
      <c r="B272" s="135" t="n"/>
      <c r="C272" s="135" t="n"/>
      <c r="D272" s="135" t="n"/>
      <c r="E272" s="135" t="n"/>
      <c r="F272" s="135" t="n"/>
    </row>
    <row r="273">
      <c r="A273" s="89" t="n"/>
      <c r="B273" s="135" t="n"/>
      <c r="C273" s="135" t="n"/>
      <c r="D273" s="135" t="n"/>
      <c r="E273" s="135" t="n"/>
      <c r="F273" s="135" t="n"/>
    </row>
    <row r="274">
      <c r="A274" s="89" t="n"/>
      <c r="B274" s="135" t="n"/>
      <c r="C274" s="135" t="n"/>
      <c r="D274" s="135" t="n"/>
      <c r="E274" s="135" t="n"/>
      <c r="F274" s="135" t="n"/>
    </row>
    <row r="275">
      <c r="A275" s="89" t="n"/>
      <c r="B275" s="135" t="n"/>
      <c r="C275" s="135" t="n"/>
      <c r="D275" s="135" t="n"/>
      <c r="E275" s="135" t="n"/>
      <c r="F275" s="135" t="n"/>
    </row>
    <row r="276">
      <c r="A276" s="89" t="n"/>
      <c r="B276" s="135" t="n"/>
      <c r="C276" s="135" t="n"/>
      <c r="D276" s="135" t="n"/>
      <c r="E276" s="135" t="n"/>
      <c r="F276" s="135" t="n"/>
    </row>
    <row r="277">
      <c r="A277" s="89" t="n"/>
      <c r="B277" s="135" t="n"/>
      <c r="C277" s="135" t="n"/>
      <c r="D277" s="135" t="n"/>
      <c r="E277" s="135" t="n"/>
      <c r="F277" s="135" t="n"/>
    </row>
    <row r="278">
      <c r="A278" s="89" t="n"/>
      <c r="B278" s="135" t="n"/>
      <c r="C278" s="135" t="n"/>
      <c r="D278" s="135" t="n"/>
      <c r="E278" s="135" t="n"/>
      <c r="F278" s="135" t="n"/>
    </row>
    <row r="279">
      <c r="A279" s="89" t="n"/>
      <c r="B279" s="135" t="n"/>
      <c r="C279" s="135" t="n"/>
      <c r="D279" s="135" t="n"/>
      <c r="E279" s="135" t="n"/>
      <c r="F279" s="135" t="n"/>
    </row>
    <row r="280">
      <c r="A280" s="89" t="n"/>
      <c r="B280" s="135" t="n"/>
      <c r="C280" s="135" t="n"/>
      <c r="D280" s="135" t="n"/>
      <c r="E280" s="135" t="n"/>
      <c r="F280" s="135" t="n"/>
    </row>
    <row r="281">
      <c r="A281" s="89" t="n"/>
      <c r="B281" s="135" t="n"/>
      <c r="C281" s="135" t="n"/>
      <c r="D281" s="135" t="n"/>
      <c r="E281" s="135" t="n"/>
      <c r="F281" s="135" t="n"/>
    </row>
    <row r="282">
      <c r="A282" s="89" t="n"/>
      <c r="B282" s="135" t="n"/>
      <c r="C282" s="135" t="n"/>
      <c r="D282" s="135" t="n"/>
      <c r="E282" s="135" t="n"/>
      <c r="F282" s="135" t="n"/>
    </row>
    <row r="283">
      <c r="A283" s="89" t="n"/>
      <c r="B283" s="135" t="n"/>
      <c r="C283" s="135" t="n"/>
      <c r="D283" s="135" t="n"/>
      <c r="E283" s="135" t="n"/>
      <c r="F283" s="135" t="n"/>
    </row>
    <row r="284">
      <c r="A284" s="89" t="n"/>
      <c r="B284" s="135" t="n"/>
      <c r="C284" s="135" t="n"/>
      <c r="D284" s="135" t="n"/>
      <c r="E284" s="135" t="n"/>
      <c r="F284" s="135" t="n"/>
    </row>
    <row r="285">
      <c r="A285" s="89" t="n"/>
      <c r="B285" s="135" t="n"/>
      <c r="C285" s="135" t="n"/>
      <c r="D285" s="135" t="n"/>
      <c r="E285" s="135" t="n"/>
      <c r="F285" s="135" t="n"/>
    </row>
    <row r="286">
      <c r="A286" s="89" t="n"/>
      <c r="B286" s="135" t="n"/>
      <c r="C286" s="135" t="n"/>
      <c r="D286" s="135" t="n"/>
      <c r="E286" s="135" t="n"/>
      <c r="F286" s="135" t="n"/>
    </row>
    <row r="287">
      <c r="A287" s="89" t="n"/>
      <c r="B287" s="135" t="n"/>
      <c r="C287" s="135" t="n"/>
      <c r="D287" s="135" t="n"/>
      <c r="E287" s="135" t="n"/>
      <c r="F287" s="135" t="n"/>
    </row>
    <row r="288">
      <c r="A288" s="89" t="n"/>
      <c r="B288" s="135" t="n"/>
      <c r="C288" s="135" t="n"/>
      <c r="D288" s="135" t="n"/>
      <c r="E288" s="135" t="n"/>
      <c r="F288" s="135" t="n"/>
    </row>
    <row r="289">
      <c r="A289" s="89" t="n"/>
      <c r="B289" s="135" t="n"/>
      <c r="C289" s="135" t="n"/>
      <c r="D289" s="135" t="n"/>
      <c r="E289" s="135" t="n"/>
      <c r="F289" s="135" t="n"/>
    </row>
    <row r="290">
      <c r="A290" s="89" t="n"/>
      <c r="B290" s="135" t="n"/>
      <c r="C290" s="135" t="n"/>
      <c r="D290" s="135" t="n"/>
      <c r="E290" s="135" t="n"/>
      <c r="F290" s="135" t="n"/>
    </row>
    <row r="291">
      <c r="A291" s="89" t="n"/>
      <c r="B291" s="135" t="n"/>
      <c r="C291" s="135" t="n"/>
      <c r="D291" s="135" t="n"/>
      <c r="E291" s="135" t="n"/>
      <c r="F291" s="135" t="n"/>
    </row>
    <row r="292">
      <c r="A292" s="89" t="n"/>
      <c r="B292" s="135" t="n"/>
      <c r="C292" s="135" t="n"/>
      <c r="D292" s="135" t="n"/>
      <c r="E292" s="135" t="n"/>
      <c r="F292" s="135" t="n"/>
    </row>
    <row r="293">
      <c r="A293" s="89" t="n"/>
      <c r="B293" s="135" t="n"/>
      <c r="C293" s="135" t="n"/>
      <c r="D293" s="135" t="n"/>
      <c r="E293" s="135" t="n"/>
      <c r="F293" s="135" t="n"/>
    </row>
    <row r="294">
      <c r="A294" s="89" t="n"/>
      <c r="B294" s="135" t="n"/>
      <c r="C294" s="135" t="n"/>
      <c r="D294" s="135" t="n"/>
      <c r="E294" s="135" t="n"/>
      <c r="F294" s="135" t="n"/>
    </row>
    <row r="295">
      <c r="A295" s="89" t="n"/>
      <c r="B295" s="135" t="n"/>
      <c r="C295" s="135" t="n"/>
      <c r="D295" s="135" t="n"/>
      <c r="E295" s="135" t="n"/>
      <c r="F295" s="135" t="n"/>
    </row>
    <row r="296">
      <c r="A296" s="89" t="n"/>
      <c r="B296" s="135" t="n"/>
      <c r="C296" s="135" t="n"/>
      <c r="D296" s="135" t="n"/>
      <c r="E296" s="135" t="n"/>
      <c r="F296" s="135" t="n"/>
    </row>
    <row r="297">
      <c r="A297" s="89" t="n"/>
      <c r="B297" s="135" t="n"/>
      <c r="C297" s="135" t="n"/>
      <c r="D297" s="135" t="n"/>
      <c r="E297" s="135" t="n"/>
      <c r="F297" s="135" t="n"/>
    </row>
    <row r="298">
      <c r="A298" s="89" t="n"/>
      <c r="B298" s="135" t="n"/>
      <c r="C298" s="135" t="n"/>
      <c r="D298" s="135" t="n"/>
      <c r="E298" s="135" t="n"/>
      <c r="F298" s="135" t="n"/>
    </row>
    <row r="299">
      <c r="A299" s="89" t="n"/>
      <c r="B299" s="135" t="n"/>
      <c r="C299" s="135" t="n"/>
      <c r="D299" s="135" t="n"/>
      <c r="E299" s="135" t="n"/>
      <c r="F299" s="135" t="n"/>
    </row>
    <row r="300">
      <c r="A300" s="89" t="n"/>
      <c r="B300" s="135" t="n"/>
      <c r="C300" s="135" t="n"/>
      <c r="D300" s="135" t="n"/>
      <c r="E300" s="135" t="n"/>
      <c r="F300" s="135" t="n"/>
    </row>
    <row r="301">
      <c r="A301" s="89" t="n"/>
      <c r="B301" s="135" t="n"/>
      <c r="C301" s="135" t="n"/>
      <c r="D301" s="135" t="n"/>
      <c r="E301" s="135" t="n"/>
      <c r="F301" s="135" t="n"/>
    </row>
    <row r="302">
      <c r="A302" s="89" t="n"/>
      <c r="B302" s="135" t="n"/>
      <c r="C302" s="135" t="n"/>
      <c r="D302" s="135" t="n"/>
      <c r="E302" s="135" t="n"/>
      <c r="F302" s="135" t="n"/>
    </row>
    <row r="303">
      <c r="A303" s="89" t="n"/>
      <c r="B303" s="135" t="n"/>
      <c r="C303" s="135" t="n"/>
      <c r="D303" s="135" t="n"/>
      <c r="E303" s="135" t="n"/>
      <c r="F303" s="135" t="n"/>
    </row>
    <row r="304">
      <c r="A304" s="89" t="n"/>
      <c r="B304" s="135" t="n"/>
      <c r="C304" s="135" t="n"/>
      <c r="D304" s="135" t="n"/>
      <c r="E304" s="135" t="n"/>
      <c r="F304" s="135" t="n"/>
    </row>
    <row r="305">
      <c r="A305" s="89" t="n"/>
      <c r="B305" s="135" t="n"/>
      <c r="C305" s="135" t="n"/>
      <c r="D305" s="135" t="n"/>
      <c r="E305" s="135" t="n"/>
      <c r="F305" s="135" t="n"/>
    </row>
    <row r="306">
      <c r="A306" s="89" t="n"/>
      <c r="B306" s="135" t="n"/>
      <c r="C306" s="135" t="n"/>
      <c r="D306" s="135" t="n"/>
      <c r="E306" s="135" t="n"/>
      <c r="F306" s="135" t="n"/>
    </row>
    <row r="307">
      <c r="A307" s="89" t="n"/>
      <c r="B307" s="135" t="n"/>
      <c r="C307" s="135" t="n"/>
      <c r="D307" s="135" t="n"/>
      <c r="E307" s="135" t="n"/>
      <c r="F307" s="135" t="n"/>
    </row>
    <row r="308">
      <c r="A308" s="89" t="n"/>
      <c r="B308" s="135" t="n"/>
      <c r="C308" s="135" t="n"/>
      <c r="D308" s="135" t="n"/>
      <c r="E308" s="135" t="n"/>
      <c r="F308" s="135" t="n"/>
    </row>
    <row r="309">
      <c r="A309" s="89" t="n"/>
      <c r="B309" s="135" t="n"/>
      <c r="C309" s="135" t="n"/>
      <c r="D309" s="135" t="n"/>
      <c r="E309" s="135" t="n"/>
      <c r="F309" s="135" t="n"/>
    </row>
    <row r="310">
      <c r="A310" s="89" t="n"/>
      <c r="B310" s="135" t="n"/>
      <c r="C310" s="135" t="n"/>
      <c r="D310" s="135" t="n"/>
      <c r="E310" s="135" t="n"/>
      <c r="F310" s="135" t="n"/>
    </row>
    <row r="311">
      <c r="A311" s="89" t="n"/>
      <c r="B311" s="135" t="n"/>
      <c r="C311" s="135" t="n"/>
      <c r="D311" s="135" t="n"/>
      <c r="E311" s="135" t="n"/>
      <c r="F311" s="135" t="n"/>
    </row>
    <row r="312">
      <c r="A312" s="89" t="n"/>
      <c r="B312" s="135" t="n"/>
      <c r="C312" s="135" t="n"/>
      <c r="D312" s="135" t="n"/>
      <c r="E312" s="135" t="n"/>
      <c r="F312" s="135" t="n"/>
    </row>
    <row r="313">
      <c r="A313" s="89" t="n"/>
      <c r="B313" s="135" t="n"/>
      <c r="C313" s="135" t="n"/>
      <c r="D313" s="135" t="n"/>
      <c r="E313" s="135" t="n"/>
      <c r="F313" s="135" t="n"/>
    </row>
    <row r="314">
      <c r="A314" s="89" t="n"/>
      <c r="B314" s="135" t="n"/>
      <c r="C314" s="135" t="n"/>
      <c r="D314" s="135" t="n"/>
      <c r="E314" s="135" t="n"/>
      <c r="F314" s="135" t="n"/>
    </row>
    <row r="315">
      <c r="A315" s="89" t="n"/>
      <c r="B315" s="135" t="n"/>
      <c r="C315" s="135" t="n"/>
      <c r="D315" s="135" t="n"/>
      <c r="E315" s="135" t="n"/>
      <c r="F315" s="135" t="n"/>
    </row>
    <row r="316">
      <c r="A316" s="89" t="n"/>
      <c r="B316" s="135" t="n"/>
      <c r="C316" s="135" t="n"/>
      <c r="D316" s="135" t="n"/>
      <c r="E316" s="135" t="n"/>
      <c r="F316" s="135" t="n"/>
    </row>
    <row r="317">
      <c r="A317" s="89" t="n"/>
      <c r="B317" s="135" t="n"/>
      <c r="C317" s="135" t="n"/>
      <c r="D317" s="135" t="n"/>
      <c r="E317" s="135" t="n"/>
      <c r="F317" s="135" t="n"/>
    </row>
    <row r="318">
      <c r="A318" s="89" t="n"/>
      <c r="B318" s="135" t="n"/>
      <c r="C318" s="135" t="n"/>
      <c r="D318" s="135" t="n"/>
      <c r="E318" s="135" t="n"/>
      <c r="F318" s="135" t="n"/>
    </row>
    <row r="319">
      <c r="A319" s="89" t="n"/>
      <c r="B319" s="135" t="n"/>
      <c r="C319" s="135" t="n"/>
      <c r="D319" s="135" t="n"/>
      <c r="E319" s="135" t="n"/>
      <c r="F319" s="135" t="n"/>
    </row>
    <row r="320">
      <c r="A320" s="89" t="n"/>
      <c r="B320" s="135" t="n"/>
      <c r="C320" s="135" t="n"/>
      <c r="D320" s="135" t="n"/>
      <c r="E320" s="135" t="n"/>
      <c r="F320" s="135" t="n"/>
    </row>
    <row r="321">
      <c r="A321" s="89" t="n"/>
      <c r="B321" s="135" t="n"/>
      <c r="C321" s="135" t="n"/>
      <c r="D321" s="135" t="n"/>
      <c r="E321" s="135" t="n"/>
      <c r="F321" s="135" t="n"/>
    </row>
    <row r="322">
      <c r="A322" s="89" t="n"/>
      <c r="B322" s="135" t="n"/>
      <c r="C322" s="135" t="n"/>
      <c r="D322" s="135" t="n"/>
      <c r="E322" s="135" t="n"/>
      <c r="F322" s="135" t="n"/>
    </row>
    <row r="323">
      <c r="A323" s="89" t="n"/>
      <c r="B323" s="135" t="n"/>
      <c r="C323" s="135" t="n"/>
      <c r="D323" s="135" t="n"/>
      <c r="E323" s="135" t="n"/>
      <c r="F323" s="135" t="n"/>
    </row>
    <row r="324">
      <c r="A324" s="89" t="n"/>
      <c r="B324" s="135" t="n"/>
      <c r="C324" s="135" t="n"/>
      <c r="D324" s="135" t="n"/>
      <c r="E324" s="135" t="n"/>
      <c r="F324" s="135" t="n"/>
    </row>
    <row r="325">
      <c r="A325" s="89" t="n"/>
      <c r="B325" s="135" t="n"/>
      <c r="C325" s="135" t="n"/>
      <c r="D325" s="135" t="n"/>
      <c r="E325" s="135" t="n"/>
      <c r="F325" s="135" t="n"/>
    </row>
    <row r="326">
      <c r="A326" s="89" t="n"/>
      <c r="B326" s="135" t="n"/>
      <c r="C326" s="135" t="n"/>
      <c r="D326" s="135" t="n"/>
      <c r="E326" s="135" t="n"/>
      <c r="F326" s="135" t="n"/>
    </row>
    <row r="327">
      <c r="A327" s="89" t="n"/>
      <c r="B327" s="135" t="n"/>
      <c r="C327" s="135" t="n"/>
      <c r="D327" s="135" t="n"/>
      <c r="E327" s="135" t="n"/>
      <c r="F327" s="135" t="n"/>
    </row>
    <row r="328">
      <c r="A328" s="89" t="n"/>
      <c r="B328" s="135" t="n"/>
      <c r="C328" s="135" t="n"/>
      <c r="D328" s="135" t="n"/>
      <c r="E328" s="135" t="n"/>
      <c r="F328" s="135" t="n"/>
    </row>
    <row r="329">
      <c r="A329" s="89" t="n"/>
      <c r="B329" s="135" t="n"/>
      <c r="C329" s="135" t="n"/>
      <c r="D329" s="135" t="n"/>
      <c r="E329" s="135" t="n"/>
      <c r="F329" s="135" t="n"/>
    </row>
    <row r="330">
      <c r="A330" s="89" t="n"/>
      <c r="B330" s="135" t="n"/>
      <c r="C330" s="135" t="n"/>
      <c r="D330" s="135" t="n"/>
      <c r="E330" s="135" t="n"/>
      <c r="F330" s="135" t="n"/>
    </row>
    <row r="331">
      <c r="A331" s="89" t="n"/>
      <c r="B331" s="135" t="n"/>
      <c r="C331" s="135" t="n"/>
      <c r="D331" s="135" t="n"/>
      <c r="E331" s="135" t="n"/>
      <c r="F331" s="135" t="n"/>
    </row>
    <row r="332">
      <c r="A332" s="89" t="n"/>
      <c r="B332" s="135" t="n"/>
      <c r="C332" s="135" t="n"/>
      <c r="D332" s="135" t="n"/>
      <c r="E332" s="135" t="n"/>
      <c r="F332" s="135" t="n"/>
    </row>
    <row r="333">
      <c r="A333" s="89" t="n"/>
      <c r="B333" s="135" t="n"/>
      <c r="C333" s="135" t="n"/>
      <c r="D333" s="135" t="n"/>
      <c r="E333" s="135" t="n"/>
      <c r="F333" s="135" t="n"/>
    </row>
    <row r="334">
      <c r="A334" s="89" t="n"/>
      <c r="B334" s="135" t="n"/>
      <c r="C334" s="135" t="n"/>
      <c r="D334" s="135" t="n"/>
      <c r="E334" s="135" t="n"/>
      <c r="F334" s="135" t="n"/>
    </row>
    <row r="335">
      <c r="A335" s="89" t="n"/>
      <c r="B335" s="135" t="n"/>
      <c r="C335" s="135" t="n"/>
      <c r="D335" s="135" t="n"/>
      <c r="E335" s="135" t="n"/>
      <c r="F335" s="135" t="n"/>
    </row>
    <row r="336">
      <c r="A336" s="89" t="n"/>
      <c r="B336" s="135" t="n"/>
      <c r="C336" s="135" t="n"/>
      <c r="D336" s="135" t="n"/>
      <c r="E336" s="135" t="n"/>
      <c r="F336" s="135" t="n"/>
    </row>
    <row r="337">
      <c r="A337" s="89" t="n"/>
      <c r="B337" s="135" t="n"/>
      <c r="C337" s="135" t="n"/>
      <c r="D337" s="135" t="n"/>
      <c r="E337" s="135" t="n"/>
      <c r="F337" s="135" t="n"/>
    </row>
    <row r="338">
      <c r="A338" s="89" t="n"/>
      <c r="B338" s="135" t="n"/>
      <c r="C338" s="135" t="n"/>
      <c r="D338" s="135" t="n"/>
      <c r="E338" s="135" t="n"/>
      <c r="F338" s="135" t="n"/>
    </row>
    <row r="339">
      <c r="A339" s="89" t="n"/>
      <c r="B339" s="135" t="n"/>
      <c r="C339" s="135" t="n"/>
      <c r="D339" s="135" t="n"/>
      <c r="E339" s="135" t="n"/>
      <c r="F339" s="135" t="n"/>
    </row>
    <row r="340">
      <c r="A340" s="89" t="n"/>
      <c r="B340" s="135" t="n"/>
      <c r="C340" s="135" t="n"/>
      <c r="D340" s="135" t="n"/>
      <c r="E340" s="135" t="n"/>
      <c r="F340" s="135" t="n"/>
    </row>
    <row r="341">
      <c r="A341" s="89" t="n"/>
      <c r="B341" s="135" t="n"/>
      <c r="C341" s="135" t="n"/>
      <c r="D341" s="135" t="n"/>
      <c r="E341" s="135" t="n"/>
      <c r="F341" s="135" t="n"/>
    </row>
    <row r="342">
      <c r="A342" s="89" t="n"/>
      <c r="B342" s="135" t="n"/>
      <c r="C342" s="135" t="n"/>
      <c r="D342" s="135" t="n"/>
      <c r="E342" s="135" t="n"/>
      <c r="F342" s="135" t="n"/>
    </row>
    <row r="343">
      <c r="A343" s="89" t="n"/>
      <c r="B343" s="135" t="n"/>
      <c r="C343" s="135" t="n"/>
      <c r="D343" s="135" t="n"/>
      <c r="E343" s="135" t="n"/>
      <c r="F343" s="135" t="n"/>
    </row>
    <row r="344">
      <c r="A344" s="89" t="n"/>
      <c r="B344" s="135" t="n"/>
      <c r="C344" s="135" t="n"/>
      <c r="D344" s="135" t="n"/>
      <c r="E344" s="135" t="n"/>
      <c r="F344" s="135" t="n"/>
    </row>
    <row r="345">
      <c r="A345" s="89" t="n"/>
      <c r="B345" s="135" t="n"/>
      <c r="C345" s="135" t="n"/>
      <c r="D345" s="135" t="n"/>
      <c r="E345" s="135" t="n"/>
      <c r="F345" s="135" t="n"/>
    </row>
    <row r="346">
      <c r="A346" s="89" t="n"/>
      <c r="B346" s="135" t="n"/>
      <c r="C346" s="135" t="n"/>
      <c r="D346" s="135" t="n"/>
      <c r="E346" s="135" t="n"/>
      <c r="F346" s="135" t="n"/>
    </row>
    <row r="347">
      <c r="A347" s="89" t="n"/>
      <c r="B347" s="135" t="n"/>
      <c r="C347" s="135" t="n"/>
      <c r="D347" s="135" t="n"/>
      <c r="E347" s="135" t="n"/>
      <c r="F347" s="135" t="n"/>
    </row>
    <row r="348">
      <c r="A348" s="89" t="n"/>
      <c r="B348" s="135" t="n"/>
      <c r="C348" s="135" t="n"/>
      <c r="D348" s="135" t="n"/>
      <c r="E348" s="135" t="n"/>
      <c r="F348" s="135" t="n"/>
    </row>
    <row r="349">
      <c r="A349" s="89" t="n"/>
      <c r="B349" s="135" t="n"/>
      <c r="C349" s="135" t="n"/>
      <c r="D349" s="135" t="n"/>
      <c r="E349" s="135" t="n"/>
      <c r="F349" s="135" t="n"/>
    </row>
    <row r="350">
      <c r="A350" s="89" t="n"/>
      <c r="B350" s="135" t="n"/>
      <c r="C350" s="135" t="n"/>
      <c r="D350" s="135" t="n"/>
      <c r="E350" s="135" t="n"/>
      <c r="F350" s="135" t="n"/>
    </row>
    <row r="351">
      <c r="A351" s="89" t="n"/>
      <c r="B351" s="135" t="n"/>
      <c r="C351" s="135" t="n"/>
      <c r="D351" s="135" t="n"/>
      <c r="E351" s="135" t="n"/>
      <c r="F351" s="135" t="n"/>
    </row>
    <row r="352">
      <c r="A352" s="89" t="n"/>
      <c r="B352" s="135" t="n"/>
      <c r="C352" s="135" t="n"/>
      <c r="D352" s="135" t="n"/>
      <c r="E352" s="135" t="n"/>
      <c r="F352" s="135" t="n"/>
    </row>
    <row r="353">
      <c r="A353" s="89" t="n"/>
      <c r="B353" s="135" t="n"/>
      <c r="C353" s="135" t="n"/>
      <c r="D353" s="135" t="n"/>
      <c r="E353" s="135" t="n"/>
      <c r="F353" s="135" t="n"/>
    </row>
    <row r="354">
      <c r="A354" s="89" t="n"/>
      <c r="B354" s="135" t="n"/>
      <c r="C354" s="135" t="n"/>
      <c r="D354" s="135" t="n"/>
      <c r="E354" s="135" t="n"/>
      <c r="F354" s="135" t="n"/>
    </row>
    <row r="355">
      <c r="A355" s="89" t="n"/>
      <c r="B355" s="135" t="n"/>
      <c r="C355" s="135" t="n"/>
      <c r="D355" s="135" t="n"/>
      <c r="E355" s="135" t="n"/>
      <c r="F355" s="135" t="n"/>
    </row>
    <row r="356">
      <c r="A356" s="89" t="n"/>
      <c r="B356" s="135" t="n"/>
      <c r="C356" s="135" t="n"/>
      <c r="D356" s="135" t="n"/>
      <c r="E356" s="135" t="n"/>
      <c r="F356" s="135" t="n"/>
    </row>
    <row r="357">
      <c r="A357" s="89" t="n"/>
      <c r="B357" s="135" t="n"/>
      <c r="C357" s="135" t="n"/>
      <c r="D357" s="135" t="n"/>
      <c r="E357" s="135" t="n"/>
      <c r="F357" s="135" t="n"/>
    </row>
    <row r="358">
      <c r="A358" s="89" t="n"/>
      <c r="B358" s="135" t="n"/>
      <c r="C358" s="135" t="n"/>
      <c r="D358" s="135" t="n"/>
      <c r="E358" s="135" t="n"/>
      <c r="F358" s="135" t="n"/>
    </row>
    <row r="359">
      <c r="A359" s="89" t="n"/>
      <c r="B359" s="135" t="n"/>
      <c r="C359" s="135" t="n"/>
      <c r="D359" s="135" t="n"/>
      <c r="E359" s="135" t="n"/>
      <c r="F359" s="135" t="n"/>
    </row>
    <row r="360">
      <c r="A360" s="89" t="n"/>
      <c r="B360" s="135" t="n"/>
      <c r="C360" s="135" t="n"/>
      <c r="D360" s="135" t="n"/>
      <c r="E360" s="135" t="n"/>
      <c r="F360" s="135" t="n"/>
    </row>
    <row r="361">
      <c r="A361" s="89" t="n"/>
      <c r="B361" s="135" t="n"/>
      <c r="C361" s="135" t="n"/>
      <c r="D361" s="135" t="n"/>
      <c r="E361" s="135" t="n"/>
      <c r="F361" s="135" t="n"/>
    </row>
    <row r="362">
      <c r="A362" s="89" t="n"/>
      <c r="B362" s="135" t="n"/>
      <c r="C362" s="135" t="n"/>
      <c r="D362" s="135" t="n"/>
      <c r="E362" s="135" t="n"/>
      <c r="F362" s="135" t="n"/>
    </row>
    <row r="363">
      <c r="A363" s="89" t="n"/>
      <c r="B363" s="135" t="n"/>
      <c r="C363" s="135" t="n"/>
      <c r="D363" s="135" t="n"/>
      <c r="E363" s="135" t="n"/>
      <c r="F363" s="135" t="n"/>
    </row>
    <row r="364">
      <c r="A364" s="89" t="n"/>
      <c r="B364" s="135" t="n"/>
      <c r="C364" s="135" t="n"/>
      <c r="D364" s="135" t="n"/>
      <c r="E364" s="135" t="n"/>
      <c r="F364" s="135" t="n"/>
    </row>
    <row r="365">
      <c r="A365" s="89" t="n"/>
      <c r="B365" s="135" t="n"/>
      <c r="C365" s="135" t="n"/>
      <c r="D365" s="135" t="n"/>
      <c r="E365" s="135" t="n"/>
      <c r="F365" s="135" t="n"/>
    </row>
    <row r="366">
      <c r="A366" s="89" t="n"/>
      <c r="B366" s="135" t="n"/>
      <c r="C366" s="135" t="n"/>
      <c r="D366" s="135" t="n"/>
      <c r="E366" s="135" t="n"/>
      <c r="F366" s="135" t="n"/>
    </row>
    <row r="367">
      <c r="A367" s="89" t="n"/>
      <c r="B367" s="135" t="n"/>
      <c r="C367" s="135" t="n"/>
      <c r="D367" s="135" t="n"/>
      <c r="E367" s="135" t="n"/>
      <c r="F367" s="135" t="n"/>
    </row>
    <row r="368">
      <c r="A368" s="89" t="n"/>
      <c r="B368" s="135" t="n"/>
      <c r="C368" s="135" t="n"/>
      <c r="D368" s="135" t="n"/>
      <c r="E368" s="135" t="n"/>
      <c r="F368" s="135" t="n"/>
    </row>
    <row r="369">
      <c r="A369" s="89" t="n"/>
      <c r="B369" s="135" t="n"/>
      <c r="C369" s="135" t="n"/>
      <c r="D369" s="135" t="n"/>
      <c r="E369" s="135" t="n"/>
      <c r="F369" s="135" t="n"/>
    </row>
    <row r="370">
      <c r="A370" s="89" t="n"/>
      <c r="B370" s="135" t="n"/>
      <c r="C370" s="135" t="n"/>
      <c r="D370" s="135" t="n"/>
      <c r="E370" s="135" t="n"/>
      <c r="F370" s="135" t="n"/>
    </row>
    <row r="371">
      <c r="A371" s="89" t="n"/>
      <c r="B371" s="135" t="n"/>
      <c r="C371" s="135" t="n"/>
      <c r="D371" s="135" t="n"/>
      <c r="E371" s="135" t="n"/>
      <c r="F371" s="135" t="n"/>
    </row>
    <row r="372">
      <c r="A372" s="89" t="n"/>
      <c r="B372" s="135" t="n"/>
      <c r="C372" s="135" t="n"/>
      <c r="D372" s="135" t="n"/>
      <c r="E372" s="135" t="n"/>
      <c r="F372" s="135" t="n"/>
    </row>
    <row r="373">
      <c r="A373" s="89" t="n"/>
      <c r="B373" s="135" t="n"/>
      <c r="C373" s="135" t="n"/>
      <c r="D373" s="135" t="n"/>
      <c r="E373" s="135" t="n"/>
      <c r="F373" s="135" t="n"/>
    </row>
    <row r="374">
      <c r="A374" s="89" t="n"/>
      <c r="B374" s="135" t="n"/>
      <c r="C374" s="135" t="n"/>
      <c r="D374" s="135" t="n"/>
      <c r="E374" s="135" t="n"/>
      <c r="F374" s="135" t="n"/>
    </row>
    <row r="375">
      <c r="A375" s="89" t="n"/>
      <c r="B375" s="135" t="n"/>
      <c r="C375" s="135" t="n"/>
      <c r="D375" s="135" t="n"/>
      <c r="E375" s="135" t="n"/>
      <c r="F375" s="135" t="n"/>
    </row>
    <row r="376">
      <c r="A376" s="89" t="n"/>
      <c r="B376" s="135" t="n"/>
      <c r="C376" s="135" t="n"/>
      <c r="D376" s="135" t="n"/>
      <c r="E376" s="135" t="n"/>
      <c r="F376" s="135" t="n"/>
    </row>
    <row r="377">
      <c r="A377" s="89" t="n"/>
      <c r="B377" s="135" t="n"/>
      <c r="C377" s="135" t="n"/>
      <c r="D377" s="135" t="n"/>
      <c r="E377" s="135" t="n"/>
      <c r="F377" s="135" t="n"/>
    </row>
    <row r="378">
      <c r="A378" s="89" t="n"/>
      <c r="B378" s="135" t="n"/>
      <c r="C378" s="135" t="n"/>
      <c r="D378" s="135" t="n"/>
      <c r="E378" s="135" t="n"/>
      <c r="F378" s="135" t="n"/>
    </row>
    <row r="379">
      <c r="A379" s="89" t="n"/>
      <c r="B379" s="135" t="n"/>
      <c r="C379" s="135" t="n"/>
      <c r="D379" s="135" t="n"/>
      <c r="E379" s="135" t="n"/>
      <c r="F379" s="135" t="n"/>
    </row>
    <row r="380">
      <c r="A380" s="89" t="n"/>
      <c r="B380" s="135" t="n"/>
      <c r="C380" s="135" t="n"/>
      <c r="D380" s="135" t="n"/>
      <c r="E380" s="135" t="n"/>
      <c r="F380" s="135" t="n"/>
    </row>
    <row r="381">
      <c r="A381" s="89" t="n"/>
      <c r="B381" s="135" t="n"/>
      <c r="C381" s="135" t="n"/>
      <c r="D381" s="135" t="n"/>
      <c r="E381" s="135" t="n"/>
      <c r="F381" s="135" t="n"/>
    </row>
    <row r="382">
      <c r="A382" s="89" t="n"/>
      <c r="B382" s="135" t="n"/>
      <c r="C382" s="135" t="n"/>
      <c r="D382" s="135" t="n"/>
      <c r="E382" s="135" t="n"/>
      <c r="F382" s="135" t="n"/>
    </row>
    <row r="383">
      <c r="A383" s="89" t="n"/>
      <c r="B383" s="135" t="n"/>
      <c r="C383" s="135" t="n"/>
      <c r="D383" s="135" t="n"/>
      <c r="E383" s="135" t="n"/>
      <c r="F383" s="135" t="n"/>
    </row>
    <row r="384">
      <c r="A384" s="89" t="n"/>
      <c r="B384" s="135" t="n"/>
      <c r="C384" s="135" t="n"/>
      <c r="D384" s="135" t="n"/>
      <c r="E384" s="135" t="n"/>
      <c r="F384" s="135" t="n"/>
    </row>
    <row r="385">
      <c r="A385" s="89" t="n"/>
      <c r="B385" s="135" t="n"/>
      <c r="C385" s="135" t="n"/>
      <c r="D385" s="135" t="n"/>
      <c r="E385" s="135" t="n"/>
      <c r="F385" s="135" t="n"/>
    </row>
    <row r="386">
      <c r="A386" s="89" t="n"/>
      <c r="B386" s="135" t="n"/>
      <c r="C386" s="135" t="n"/>
      <c r="D386" s="135" t="n"/>
      <c r="E386" s="135" t="n"/>
      <c r="F386" s="135" t="n"/>
    </row>
    <row r="387">
      <c r="A387" s="89" t="n"/>
      <c r="B387" s="135" t="n"/>
      <c r="C387" s="135" t="n"/>
      <c r="D387" s="135" t="n"/>
      <c r="E387" s="135" t="n"/>
      <c r="F387" s="135" t="n"/>
    </row>
    <row r="388">
      <c r="A388" s="89" t="n"/>
      <c r="B388" s="135" t="n"/>
      <c r="C388" s="135" t="n"/>
      <c r="D388" s="135" t="n"/>
      <c r="E388" s="135" t="n"/>
      <c r="F388" s="135" t="n"/>
    </row>
    <row r="389">
      <c r="A389" s="89" t="n"/>
      <c r="B389" s="135" t="n"/>
      <c r="C389" s="135" t="n"/>
      <c r="D389" s="135" t="n"/>
      <c r="E389" s="135" t="n"/>
      <c r="F389" s="135" t="n"/>
    </row>
    <row r="390">
      <c r="A390" s="89" t="n"/>
      <c r="B390" s="135" t="n"/>
      <c r="C390" s="135" t="n"/>
      <c r="D390" s="135" t="n"/>
      <c r="E390" s="135" t="n"/>
      <c r="F390" s="135" t="n"/>
    </row>
    <row r="391">
      <c r="A391" s="89" t="n"/>
      <c r="B391" s="135" t="n"/>
      <c r="C391" s="135" t="n"/>
      <c r="D391" s="135" t="n"/>
      <c r="E391" s="135" t="n"/>
      <c r="F391" s="135" t="n"/>
    </row>
    <row r="392">
      <c r="A392" s="89" t="n"/>
      <c r="B392" s="135" t="n"/>
      <c r="C392" s="135" t="n"/>
      <c r="D392" s="135" t="n"/>
      <c r="E392" s="135" t="n"/>
      <c r="F392" s="135" t="n"/>
    </row>
    <row r="393">
      <c r="A393" s="89" t="n"/>
      <c r="B393" s="135" t="n"/>
      <c r="C393" s="135" t="n"/>
      <c r="D393" s="135" t="n"/>
      <c r="E393" s="135" t="n"/>
      <c r="F393" s="135" t="n"/>
    </row>
    <row r="394">
      <c r="A394" s="89" t="n"/>
      <c r="B394" s="135" t="n"/>
      <c r="C394" s="135" t="n"/>
      <c r="D394" s="135" t="n"/>
      <c r="E394" s="135" t="n"/>
      <c r="F394" s="135" t="n"/>
    </row>
    <row r="395">
      <c r="A395" s="89" t="n"/>
      <c r="B395" s="135" t="n"/>
      <c r="C395" s="135" t="n"/>
      <c r="D395" s="135" t="n"/>
      <c r="E395" s="135" t="n"/>
      <c r="F395" s="135" t="n"/>
    </row>
    <row r="396">
      <c r="A396" s="89" t="n"/>
      <c r="B396" s="135" t="n"/>
      <c r="C396" s="135" t="n"/>
      <c r="D396" s="135" t="n"/>
      <c r="E396" s="135" t="n"/>
      <c r="F396" s="135" t="n"/>
    </row>
    <row r="397">
      <c r="A397" s="89" t="n"/>
      <c r="B397" s="135" t="n"/>
      <c r="C397" s="135" t="n"/>
      <c r="D397" s="135" t="n"/>
      <c r="E397" s="135" t="n"/>
      <c r="F397" s="135" t="n"/>
    </row>
    <row r="398">
      <c r="A398" s="89" t="n"/>
      <c r="B398" s="135" t="n"/>
      <c r="C398" s="135" t="n"/>
      <c r="D398" s="135" t="n"/>
      <c r="E398" s="135" t="n"/>
      <c r="F398" s="135" t="n"/>
    </row>
    <row r="399">
      <c r="A399" s="89" t="n"/>
      <c r="B399" s="135" t="n"/>
      <c r="C399" s="135" t="n"/>
      <c r="D399" s="135" t="n"/>
      <c r="E399" s="135" t="n"/>
      <c r="F399" s="135" t="n"/>
    </row>
    <row r="400">
      <c r="A400" s="89" t="n"/>
      <c r="B400" s="135" t="n"/>
      <c r="C400" s="135" t="n"/>
      <c r="D400" s="135" t="n"/>
      <c r="E400" s="135" t="n"/>
      <c r="F400" s="135" t="n"/>
    </row>
    <row r="401">
      <c r="A401" s="89" t="n"/>
      <c r="B401" s="135" t="n"/>
      <c r="C401" s="135" t="n"/>
      <c r="D401" s="135" t="n"/>
      <c r="E401" s="135" t="n"/>
      <c r="F401" s="135" t="n"/>
    </row>
    <row r="402">
      <c r="A402" s="89" t="n"/>
      <c r="B402" s="135" t="n"/>
      <c r="C402" s="135" t="n"/>
      <c r="D402" s="135" t="n"/>
      <c r="E402" s="135" t="n"/>
      <c r="F402" s="135" t="n"/>
    </row>
    <row r="403">
      <c r="A403" s="89" t="n"/>
      <c r="B403" s="135" t="n"/>
      <c r="C403" s="135" t="n"/>
      <c r="D403" s="135" t="n"/>
      <c r="E403" s="135" t="n"/>
      <c r="F403" s="135" t="n"/>
    </row>
    <row r="404">
      <c r="A404" s="89" t="n"/>
      <c r="B404" s="135" t="n"/>
      <c r="C404" s="135" t="n"/>
      <c r="D404" s="135" t="n"/>
      <c r="E404" s="135" t="n"/>
      <c r="F404" s="135" t="n"/>
    </row>
    <row r="405">
      <c r="A405" s="89" t="n"/>
      <c r="B405" s="135" t="n"/>
      <c r="C405" s="135" t="n"/>
      <c r="D405" s="135" t="n"/>
      <c r="E405" s="135" t="n"/>
      <c r="F405" s="135" t="n"/>
    </row>
    <row r="406">
      <c r="A406" s="89" t="n"/>
      <c r="B406" s="135" t="n"/>
      <c r="C406" s="135" t="n"/>
      <c r="D406" s="135" t="n"/>
      <c r="E406" s="135" t="n"/>
      <c r="F406" s="135" t="n"/>
    </row>
    <row r="407">
      <c r="A407" s="89" t="n"/>
      <c r="B407" s="135" t="n"/>
      <c r="C407" s="135" t="n"/>
      <c r="D407" s="135" t="n"/>
      <c r="E407" s="135" t="n"/>
      <c r="F407" s="135" t="n"/>
    </row>
    <row r="408">
      <c r="A408" s="89" t="n"/>
      <c r="B408" s="135" t="n"/>
      <c r="C408" s="135" t="n"/>
      <c r="D408" s="135" t="n"/>
      <c r="E408" s="135" t="n"/>
      <c r="F408" s="135" t="n"/>
    </row>
    <row r="409">
      <c r="A409" s="89" t="n"/>
      <c r="B409" s="135" t="n"/>
      <c r="C409" s="135" t="n"/>
      <c r="D409" s="135" t="n"/>
      <c r="E409" s="135" t="n"/>
      <c r="F409" s="135" t="n"/>
    </row>
    <row r="410">
      <c r="A410" s="89" t="n"/>
      <c r="B410" s="135" t="n"/>
      <c r="C410" s="135" t="n"/>
      <c r="D410" s="135" t="n"/>
      <c r="E410" s="135" t="n"/>
      <c r="F410" s="135" t="n"/>
    </row>
    <row r="411">
      <c r="A411" s="89" t="n"/>
      <c r="B411" s="135" t="n"/>
      <c r="C411" s="135" t="n"/>
      <c r="D411" s="135" t="n"/>
      <c r="E411" s="135" t="n"/>
      <c r="F411" s="135" t="n"/>
    </row>
    <row r="412">
      <c r="A412" s="89" t="n"/>
      <c r="B412" s="135" t="n"/>
      <c r="C412" s="135" t="n"/>
      <c r="D412" s="135" t="n"/>
      <c r="E412" s="135" t="n"/>
      <c r="F412" s="135" t="n"/>
    </row>
    <row r="413">
      <c r="A413" s="89" t="n"/>
      <c r="B413" s="135" t="n"/>
      <c r="C413" s="135" t="n"/>
      <c r="D413" s="135" t="n"/>
      <c r="E413" s="135" t="n"/>
      <c r="F413" s="135" t="n"/>
    </row>
    <row r="414">
      <c r="A414" s="89" t="n"/>
      <c r="B414" s="135" t="n"/>
      <c r="C414" s="135" t="n"/>
      <c r="D414" s="135" t="n"/>
      <c r="E414" s="135" t="n"/>
      <c r="F414" s="135" t="n"/>
    </row>
    <row r="415">
      <c r="A415" s="89" t="n"/>
      <c r="B415" s="135" t="n"/>
      <c r="C415" s="135" t="n"/>
      <c r="D415" s="135" t="n"/>
      <c r="E415" s="135" t="n"/>
      <c r="F415" s="135" t="n"/>
    </row>
    <row r="416">
      <c r="A416" s="89" t="n"/>
      <c r="B416" s="135" t="n"/>
      <c r="C416" s="135" t="n"/>
      <c r="D416" s="135" t="n"/>
      <c r="E416" s="135" t="n"/>
      <c r="F416" s="135" t="n"/>
    </row>
    <row r="417">
      <c r="A417" s="89" t="n"/>
      <c r="B417" s="135" t="n"/>
      <c r="C417" s="135" t="n"/>
      <c r="D417" s="135" t="n"/>
      <c r="E417" s="135" t="n"/>
      <c r="F417" s="135" t="n"/>
    </row>
    <row r="418">
      <c r="A418" s="89" t="n"/>
      <c r="B418" s="135" t="n"/>
      <c r="C418" s="135" t="n"/>
      <c r="D418" s="135" t="n"/>
      <c r="E418" s="135" t="n"/>
      <c r="F418" s="135" t="n"/>
    </row>
    <row r="419">
      <c r="A419" s="89" t="n"/>
      <c r="B419" s="135" t="n"/>
      <c r="C419" s="135" t="n"/>
      <c r="D419" s="135" t="n"/>
      <c r="E419" s="135" t="n"/>
      <c r="F419" s="135" t="n"/>
    </row>
    <row r="420">
      <c r="A420" s="89" t="n"/>
      <c r="B420" s="135" t="n"/>
      <c r="C420" s="135" t="n"/>
      <c r="D420" s="135" t="n"/>
      <c r="E420" s="135" t="n"/>
      <c r="F420" s="135" t="n"/>
    </row>
    <row r="421">
      <c r="A421" s="89" t="n"/>
      <c r="B421" s="135" t="n"/>
      <c r="C421" s="135" t="n"/>
      <c r="D421" s="135" t="n"/>
      <c r="E421" s="135" t="n"/>
      <c r="F421" s="135" t="n"/>
    </row>
    <row r="422">
      <c r="A422" s="89" t="n"/>
      <c r="B422" s="135" t="n"/>
      <c r="C422" s="135" t="n"/>
      <c r="D422" s="135" t="n"/>
      <c r="E422" s="135" t="n"/>
      <c r="F422" s="135" t="n"/>
    </row>
    <row r="423">
      <c r="A423" s="89" t="n"/>
      <c r="B423" s="135" t="n"/>
      <c r="C423" s="135" t="n"/>
      <c r="D423" s="135" t="n"/>
      <c r="E423" s="135" t="n"/>
      <c r="F423" s="135" t="n"/>
    </row>
    <row r="424">
      <c r="A424" s="89" t="n"/>
      <c r="B424" s="135" t="n"/>
      <c r="C424" s="135" t="n"/>
      <c r="D424" s="135" t="n"/>
      <c r="E424" s="135" t="n"/>
      <c r="F424" s="135" t="n"/>
    </row>
    <row r="425">
      <c r="A425" s="89" t="n"/>
      <c r="B425" s="135" t="n"/>
      <c r="C425" s="135" t="n"/>
      <c r="D425" s="135" t="n"/>
      <c r="E425" s="135" t="n"/>
      <c r="F425" s="135" t="n"/>
    </row>
    <row r="426">
      <c r="A426" s="89" t="n"/>
      <c r="B426" s="135" t="n"/>
      <c r="C426" s="135" t="n"/>
      <c r="D426" s="135" t="n"/>
      <c r="E426" s="135" t="n"/>
      <c r="F426" s="135" t="n"/>
    </row>
    <row r="427">
      <c r="A427" s="89" t="n"/>
      <c r="B427" s="135" t="n"/>
      <c r="C427" s="135" t="n"/>
      <c r="D427" s="135" t="n"/>
      <c r="E427" s="135" t="n"/>
      <c r="F427" s="135" t="n"/>
    </row>
    <row r="428">
      <c r="A428" s="89" t="n"/>
      <c r="B428" s="135" t="n"/>
      <c r="C428" s="135" t="n"/>
      <c r="D428" s="135" t="n"/>
      <c r="E428" s="135" t="n"/>
      <c r="F428" s="135" t="n"/>
    </row>
    <row r="429">
      <c r="A429" s="89" t="n"/>
      <c r="B429" s="135" t="n"/>
      <c r="C429" s="135" t="n"/>
      <c r="D429" s="135" t="n"/>
      <c r="E429" s="135" t="n"/>
      <c r="F429" s="135" t="n"/>
    </row>
    <row r="430">
      <c r="A430" s="89" t="n"/>
      <c r="B430" s="135" t="n"/>
      <c r="C430" s="135" t="n"/>
      <c r="D430" s="135" t="n"/>
      <c r="E430" s="135" t="n"/>
      <c r="F430" s="135" t="n"/>
    </row>
    <row r="431">
      <c r="A431" s="89" t="n"/>
      <c r="B431" s="135" t="n"/>
      <c r="C431" s="135" t="n"/>
      <c r="D431" s="135" t="n"/>
      <c r="E431" s="135" t="n"/>
      <c r="F431" s="135" t="n"/>
    </row>
    <row r="432">
      <c r="A432" s="89" t="n"/>
      <c r="B432" s="135" t="n"/>
      <c r="C432" s="135" t="n"/>
      <c r="D432" s="135" t="n"/>
      <c r="E432" s="135" t="n"/>
      <c r="F432" s="135" t="n"/>
    </row>
    <row r="433">
      <c r="A433" s="89" t="n"/>
      <c r="B433" s="135" t="n"/>
      <c r="C433" s="135" t="n"/>
      <c r="D433" s="135" t="n"/>
      <c r="E433" s="135" t="n"/>
      <c r="F433" s="135" t="n"/>
    </row>
    <row r="434">
      <c r="A434" s="89" t="n"/>
      <c r="B434" s="135" t="n"/>
      <c r="C434" s="135" t="n"/>
      <c r="D434" s="135" t="n"/>
      <c r="E434" s="135" t="n"/>
      <c r="F434" s="135" t="n"/>
    </row>
    <row r="435">
      <c r="A435" s="89" t="n"/>
      <c r="B435" s="135" t="n"/>
      <c r="C435" s="135" t="n"/>
      <c r="D435" s="135" t="n"/>
      <c r="E435" s="135" t="n"/>
      <c r="F435" s="135" t="n"/>
    </row>
    <row r="436">
      <c r="A436" s="89" t="n"/>
      <c r="B436" s="135" t="n"/>
      <c r="C436" s="135" t="n"/>
      <c r="D436" s="135" t="n"/>
      <c r="E436" s="135" t="n"/>
      <c r="F436" s="135" t="n"/>
    </row>
    <row r="437">
      <c r="A437" s="89" t="n"/>
      <c r="B437" s="135" t="n"/>
      <c r="C437" s="135" t="n"/>
      <c r="D437" s="135" t="n"/>
      <c r="E437" s="135" t="n"/>
      <c r="F437" s="135" t="n"/>
    </row>
    <row r="438">
      <c r="A438" s="89" t="n"/>
      <c r="B438" s="135" t="n"/>
      <c r="C438" s="135" t="n"/>
      <c r="D438" s="135" t="n"/>
      <c r="E438" s="135" t="n"/>
      <c r="F438" s="135" t="n"/>
    </row>
    <row r="439">
      <c r="A439" s="89" t="n"/>
      <c r="B439" s="135" t="n"/>
      <c r="C439" s="135" t="n"/>
      <c r="D439" s="135" t="n"/>
      <c r="E439" s="135" t="n"/>
      <c r="F439" s="135" t="n"/>
    </row>
    <row r="440">
      <c r="A440" s="89" t="n"/>
      <c r="B440" s="135" t="n"/>
      <c r="C440" s="135" t="n"/>
      <c r="D440" s="135" t="n"/>
      <c r="E440" s="135" t="n"/>
      <c r="F440" s="135" t="n"/>
    </row>
    <row r="441">
      <c r="A441" s="89" t="n"/>
      <c r="B441" s="135" t="n"/>
      <c r="C441" s="135" t="n"/>
      <c r="D441" s="135" t="n"/>
      <c r="E441" s="135" t="n"/>
      <c r="F441" s="135" t="n"/>
    </row>
    <row r="442">
      <c r="A442" s="89" t="n"/>
      <c r="B442" s="135" t="n"/>
      <c r="C442" s="135" t="n"/>
      <c r="D442" s="135" t="n"/>
      <c r="E442" s="135" t="n"/>
      <c r="F442" s="135" t="n"/>
    </row>
    <row r="443">
      <c r="A443" s="89" t="n"/>
      <c r="B443" s="135" t="n"/>
      <c r="C443" s="135" t="n"/>
      <c r="D443" s="135" t="n"/>
      <c r="E443" s="135" t="n"/>
      <c r="F443" s="135" t="n"/>
    </row>
    <row r="444">
      <c r="A444" s="89" t="n"/>
      <c r="B444" s="135" t="n"/>
      <c r="C444" s="135" t="n"/>
      <c r="D444" s="135" t="n"/>
      <c r="E444" s="135" t="n"/>
      <c r="F444" s="135" t="n"/>
    </row>
    <row r="445">
      <c r="A445" s="89" t="n"/>
      <c r="B445" s="135" t="n"/>
      <c r="C445" s="135" t="n"/>
      <c r="D445" s="135" t="n"/>
      <c r="E445" s="135" t="n"/>
      <c r="F445" s="135" t="n"/>
    </row>
    <row r="446">
      <c r="A446" s="89" t="n"/>
      <c r="B446" s="135" t="n"/>
      <c r="C446" s="135" t="n"/>
      <c r="D446" s="135" t="n"/>
      <c r="E446" s="135" t="n"/>
      <c r="F446" s="135" t="n"/>
    </row>
    <row r="447">
      <c r="A447" s="89" t="n"/>
      <c r="B447" s="135" t="n"/>
      <c r="C447" s="135" t="n"/>
      <c r="D447" s="135" t="n"/>
      <c r="E447" s="135" t="n"/>
      <c r="F447" s="135" t="n"/>
    </row>
    <row r="448">
      <c r="A448" s="89" t="n"/>
      <c r="B448" s="135" t="n"/>
      <c r="C448" s="135" t="n"/>
      <c r="D448" s="135" t="n"/>
      <c r="E448" s="135" t="n"/>
      <c r="F448" s="135" t="n"/>
    </row>
    <row r="449">
      <c r="A449" s="89" t="n"/>
      <c r="B449" s="135" t="n"/>
      <c r="C449" s="135" t="n"/>
      <c r="D449" s="135" t="n"/>
      <c r="E449" s="135" t="n"/>
      <c r="F449" s="135" t="n"/>
    </row>
    <row r="450">
      <c r="A450" s="89" t="n"/>
      <c r="B450" s="135" t="n"/>
      <c r="C450" s="135" t="n"/>
      <c r="D450" s="135" t="n"/>
      <c r="E450" s="135" t="n"/>
      <c r="F450" s="135" t="n"/>
    </row>
    <row r="451">
      <c r="A451" s="89" t="n"/>
      <c r="B451" s="135" t="n"/>
      <c r="C451" s="135" t="n"/>
      <c r="D451" s="135" t="n"/>
      <c r="E451" s="135" t="n"/>
      <c r="F451" s="135" t="n"/>
    </row>
    <row r="452">
      <c r="A452" s="89" t="n"/>
      <c r="B452" s="135" t="n"/>
      <c r="C452" s="135" t="n"/>
      <c r="D452" s="135" t="n"/>
      <c r="E452" s="135" t="n"/>
      <c r="F452" s="135" t="n"/>
    </row>
    <row r="453">
      <c r="A453" s="89" t="n"/>
      <c r="B453" s="135" t="n"/>
      <c r="C453" s="135" t="n"/>
      <c r="D453" s="135" t="n"/>
      <c r="E453" s="135" t="n"/>
      <c r="F453" s="135" t="n"/>
    </row>
    <row r="454">
      <c r="A454" s="89" t="n"/>
      <c r="B454" s="135" t="n"/>
      <c r="C454" s="135" t="n"/>
      <c r="D454" s="135" t="n"/>
      <c r="E454" s="135" t="n"/>
      <c r="F454" s="135" t="n"/>
    </row>
    <row r="455">
      <c r="A455" s="89" t="n"/>
      <c r="B455" s="135" t="n"/>
      <c r="C455" s="135" t="n"/>
      <c r="D455" s="135" t="n"/>
      <c r="E455" s="135" t="n"/>
      <c r="F455" s="135" t="n"/>
    </row>
    <row r="456">
      <c r="A456" s="89" t="n"/>
      <c r="B456" s="135" t="n"/>
      <c r="C456" s="135" t="n"/>
      <c r="D456" s="135" t="n"/>
      <c r="E456" s="135" t="n"/>
      <c r="F456" s="135" t="n"/>
    </row>
    <row r="457">
      <c r="A457" s="89" t="n"/>
      <c r="B457" s="135" t="n"/>
      <c r="C457" s="135" t="n"/>
      <c r="D457" s="135" t="n"/>
      <c r="E457" s="135" t="n"/>
      <c r="F457" s="135" t="n"/>
    </row>
    <row r="458">
      <c r="A458" s="89" t="n"/>
      <c r="B458" s="135" t="n"/>
      <c r="C458" s="135" t="n"/>
      <c r="D458" s="135" t="n"/>
      <c r="E458" s="135" t="n"/>
      <c r="F458" s="135" t="n"/>
    </row>
  </sheetData>
  <pageMargins left="0.27" right="0.32" top="0.4" bottom="0.8" header="0.5" footer="0.5"/>
  <pageSetup orientation="portrait" paperSize="9" scale="9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indexed="50"/>
    <outlinePr summaryBelow="1" summaryRight="1"/>
    <pageSetUpPr/>
  </sheetPr>
  <dimension ref="A1:O75"/>
  <sheetViews>
    <sheetView showRuler="0" zoomScale="160" zoomScaleNormal="16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2" sqref="A22"/>
    </sheetView>
  </sheetViews>
  <sheetFormatPr baseColWidth="8" defaultRowHeight="16.5"/>
  <cols>
    <col width="20.875" customWidth="1" style="130" min="1" max="1"/>
    <col width="23.25" customWidth="1" style="130" min="2" max="2"/>
    <col width="8.375" customWidth="1" style="130" min="3" max="3"/>
    <col width="7" customWidth="1" style="130" min="4" max="4"/>
    <col width="10.375" customWidth="1" style="130" min="5" max="5"/>
    <col width="9.75" customWidth="1" style="130" min="6" max="7"/>
    <col width="7.25" customWidth="1" style="130" min="8" max="8"/>
    <col width="11.25" customWidth="1" style="107" min="9" max="9"/>
    <col width="11.25" customWidth="1" style="130" min="10" max="10"/>
    <col width="12.25" customWidth="1" style="130" min="12" max="12"/>
    <col width="22.375" customWidth="1" style="130" min="13" max="13"/>
  </cols>
  <sheetData>
    <row r="1">
      <c r="A1" s="90" t="inlineStr">
        <is>
          <t>品號</t>
        </is>
      </c>
      <c r="B1" s="90" t="inlineStr">
        <is>
          <t>機型</t>
        </is>
      </c>
      <c r="C1" s="123" t="inlineStr">
        <is>
          <t>素材</t>
        </is>
      </c>
      <c r="D1" s="90" t="inlineStr">
        <is>
          <t>製程4</t>
        </is>
      </c>
      <c r="E1" s="90" t="inlineStr">
        <is>
          <t>製程3成品</t>
        </is>
      </c>
      <c r="F1" s="90" t="inlineStr">
        <is>
          <t>研磨成品</t>
        </is>
      </c>
      <c r="G1" s="123" t="inlineStr">
        <is>
          <t>報廢品</t>
        </is>
      </c>
      <c r="H1" s="123" t="inlineStr">
        <is>
          <t>總數</t>
        </is>
      </c>
      <c r="I1" s="123" t="inlineStr">
        <is>
          <t>預扣件</t>
        </is>
      </c>
      <c r="J1" s="123" t="inlineStr">
        <is>
          <t>報廢品</t>
        </is>
      </c>
      <c r="K1" s="35" t="inlineStr">
        <is>
          <t>研-09-09</t>
        </is>
      </c>
      <c r="N1" s="89" t="inlineStr">
        <is>
          <t>已開單</t>
        </is>
      </c>
    </row>
    <row r="2">
      <c r="A2" s="121" t="n">
        <v>8810001322</v>
      </c>
      <c r="B2" s="112" t="inlineStr">
        <is>
          <t>HSA-2212</t>
        </is>
      </c>
      <c r="C2" s="123" t="n">
        <v>1</v>
      </c>
      <c r="D2" s="123" t="n">
        <v>0</v>
      </c>
      <c r="E2" s="123" t="n">
        <v>0</v>
      </c>
      <c r="F2" s="123" t="n">
        <v>2</v>
      </c>
      <c r="G2" s="123" t="n"/>
      <c r="H2" s="83" t="n">
        <v>3</v>
      </c>
      <c r="I2" s="102" t="n"/>
      <c r="K2" s="35" t="n">
        <v>3</v>
      </c>
    </row>
    <row r="3">
      <c r="A3" s="121" t="n">
        <v>8810001323</v>
      </c>
      <c r="B3" s="112" t="inlineStr">
        <is>
          <t>HSA-2212(一體式-200H)</t>
        </is>
      </c>
      <c r="C3" s="123" t="n">
        <v>0</v>
      </c>
      <c r="D3" s="123" t="n">
        <v>0</v>
      </c>
      <c r="E3" s="123" t="n">
        <v>0</v>
      </c>
      <c r="F3" s="123" t="n">
        <v>0</v>
      </c>
      <c r="G3" s="123" t="n"/>
      <c r="H3" s="83">
        <f>SUM(C3:F3)</f>
        <v/>
      </c>
      <c r="I3" s="102" t="n"/>
      <c r="K3" s="35" t="n"/>
    </row>
    <row r="4">
      <c r="A4" s="121" t="n">
        <v>8810001324</v>
      </c>
      <c r="B4" s="112" t="inlineStr">
        <is>
          <t>HSA-3212</t>
        </is>
      </c>
      <c r="C4" s="123" t="n">
        <v>0</v>
      </c>
      <c r="D4" s="123" t="n">
        <v>0</v>
      </c>
      <c r="E4" s="123" t="n">
        <v>0</v>
      </c>
      <c r="F4" s="123" t="n">
        <v>0</v>
      </c>
      <c r="G4" s="123" t="n"/>
      <c r="H4" s="83">
        <f>SUM(C4:F4)</f>
        <v/>
      </c>
      <c r="I4" s="102" t="n"/>
      <c r="K4" s="35" t="n"/>
    </row>
    <row r="5">
      <c r="A5" s="121" t="n">
        <v>8810001205</v>
      </c>
      <c r="B5" s="90" t="inlineStr">
        <is>
          <t>HEP-2150</t>
        </is>
      </c>
      <c r="C5" s="123" t="n">
        <v>0</v>
      </c>
      <c r="D5" s="123" t="n">
        <v>0</v>
      </c>
      <c r="E5" s="123" t="n">
        <v>0</v>
      </c>
      <c r="F5" s="123" t="n">
        <v>0</v>
      </c>
      <c r="G5" s="123" t="n"/>
      <c r="H5" s="88">
        <f>SUM(C5:F5)</f>
        <v/>
      </c>
      <c r="I5" s="102" t="n"/>
      <c r="K5" s="33" t="n"/>
      <c r="L5" s="90" t="inlineStr">
        <is>
          <t>HEP-2150</t>
        </is>
      </c>
    </row>
    <row r="6">
      <c r="A6" s="121" t="n">
        <v>8810001442</v>
      </c>
      <c r="B6" s="90" t="inlineStr">
        <is>
          <t>HEP-2150(一體式-標準)</t>
        </is>
      </c>
      <c r="C6" s="123" t="n">
        <v>0</v>
      </c>
      <c r="D6" s="123" t="n">
        <v>0</v>
      </c>
      <c r="E6" s="123" t="n">
        <v>0</v>
      </c>
      <c r="F6" s="123" t="n">
        <v>0</v>
      </c>
      <c r="G6" s="123" t="n"/>
      <c r="H6" s="83">
        <f>SUM(C6:F6)</f>
        <v/>
      </c>
      <c r="I6" s="102" t="n"/>
      <c r="K6" s="33" t="n"/>
      <c r="L6" s="90" t="n"/>
    </row>
    <row r="7">
      <c r="A7" s="121" t="n">
        <v>8810001490</v>
      </c>
      <c r="B7" s="90" t="inlineStr">
        <is>
          <t>HSA-216(一體式-標準)</t>
        </is>
      </c>
      <c r="C7" s="123" t="n">
        <v>0</v>
      </c>
      <c r="D7" s="123" t="n">
        <v>0</v>
      </c>
      <c r="E7" s="123" t="n">
        <v>0</v>
      </c>
      <c r="F7" s="123" t="n">
        <v>4</v>
      </c>
      <c r="G7" s="123" t="n"/>
      <c r="H7" s="83">
        <f>SUM(C7:F7)</f>
        <v/>
      </c>
      <c r="I7" s="102" t="n"/>
      <c r="J7" s="89" t="n"/>
      <c r="K7" s="33" t="n">
        <v>4</v>
      </c>
      <c r="L7" s="90" t="n"/>
    </row>
    <row r="8">
      <c r="A8" s="121" t="n">
        <v>8810001492</v>
      </c>
      <c r="B8" s="90" t="inlineStr">
        <is>
          <t>HEP-216(一體式-100H)</t>
        </is>
      </c>
      <c r="C8" s="123" t="n">
        <v>0</v>
      </c>
      <c r="D8" s="123" t="n">
        <v>0</v>
      </c>
      <c r="E8" s="123" t="n">
        <v>0</v>
      </c>
      <c r="F8" s="123" t="n">
        <v>0</v>
      </c>
      <c r="G8" s="123" t="n"/>
      <c r="H8" s="88">
        <f>SUM(C8:F8)</f>
        <v/>
      </c>
      <c r="I8" s="102" t="n"/>
      <c r="K8" s="33" t="n"/>
      <c r="L8" s="90" t="n"/>
    </row>
    <row r="9">
      <c r="A9" s="121" t="n">
        <v>8810001494</v>
      </c>
      <c r="B9" s="90" t="inlineStr">
        <is>
          <t>HEP-216(一體式-200H)</t>
        </is>
      </c>
      <c r="C9" s="123" t="n">
        <v>0</v>
      </c>
      <c r="D9" s="123" t="n">
        <v>0</v>
      </c>
      <c r="E9" s="123" t="n">
        <v>0</v>
      </c>
      <c r="F9" s="123" t="n">
        <v>0</v>
      </c>
      <c r="G9" s="123" t="n"/>
      <c r="H9" s="88">
        <f>SUM(C9:F9)</f>
        <v/>
      </c>
      <c r="I9" s="102" t="n"/>
      <c r="K9" s="33" t="n"/>
      <c r="L9" s="90" t="n"/>
    </row>
    <row r="10">
      <c r="A10" s="121" t="n">
        <v>8810001080</v>
      </c>
      <c r="B10" s="90" t="inlineStr">
        <is>
          <t>HEP-3150</t>
        </is>
      </c>
      <c r="C10" s="123" t="n">
        <v>0</v>
      </c>
      <c r="D10" s="123" t="n">
        <v>0</v>
      </c>
      <c r="E10" s="123" t="n">
        <v>0</v>
      </c>
      <c r="F10" s="123" t="n">
        <v>0</v>
      </c>
      <c r="G10" s="123" t="n"/>
      <c r="H10" s="88">
        <f>SUM(C10:F10)</f>
        <v/>
      </c>
      <c r="I10" s="102" t="n"/>
      <c r="K10" s="33" t="n"/>
      <c r="L10" s="90" t="inlineStr">
        <is>
          <t>HEP-3150</t>
        </is>
      </c>
    </row>
    <row r="11">
      <c r="A11" s="121" t="n">
        <v>8810001445</v>
      </c>
      <c r="B11" s="90" t="inlineStr">
        <is>
          <t>HEP-3150(一體式-Z-80)</t>
        </is>
      </c>
      <c r="C11" s="123" t="n">
        <v>0</v>
      </c>
      <c r="D11" s="123" t="n">
        <v>0</v>
      </c>
      <c r="E11" s="123" t="n">
        <v>0</v>
      </c>
      <c r="F11" s="123" t="n">
        <v>0</v>
      </c>
      <c r="G11" s="123" t="n"/>
      <c r="H11" s="88">
        <f>SUM(C11:F11)</f>
        <v/>
      </c>
      <c r="I11" s="102" t="n"/>
      <c r="K11" s="33" t="n"/>
      <c r="L11" s="90" t="n"/>
    </row>
    <row r="12">
      <c r="A12" s="121" t="n">
        <v>8810001443</v>
      </c>
      <c r="B12" s="90" t="inlineStr">
        <is>
          <t>HEP-3150(一體式-標準)</t>
        </is>
      </c>
      <c r="C12" s="123" t="n">
        <v>0</v>
      </c>
      <c r="D12" s="123" t="n">
        <v>0</v>
      </c>
      <c r="E12" s="123" t="n">
        <v>0</v>
      </c>
      <c r="F12" s="123" t="n">
        <v>0</v>
      </c>
      <c r="G12" s="123" t="n"/>
      <c r="H12" s="88">
        <f>SUM(C12:F12)</f>
        <v/>
      </c>
      <c r="I12" s="102" t="n"/>
      <c r="K12" s="33" t="n"/>
      <c r="L12" s="90" t="n"/>
    </row>
    <row r="13">
      <c r="A13" s="121" t="n">
        <v>8810001491</v>
      </c>
      <c r="B13" s="90" t="inlineStr">
        <is>
          <t>HSA-316(一體式-標準)</t>
        </is>
      </c>
      <c r="C13" s="123" t="n">
        <v>0</v>
      </c>
      <c r="D13" s="123" t="n">
        <v>0</v>
      </c>
      <c r="E13" s="123" t="n">
        <v>1</v>
      </c>
      <c r="F13" s="123" t="n">
        <v>3</v>
      </c>
      <c r="G13" s="123" t="n"/>
      <c r="H13" s="83">
        <f>SUM(C13:F13)</f>
        <v/>
      </c>
      <c r="I13" s="102" t="n"/>
      <c r="K13" s="33" t="n">
        <v>4</v>
      </c>
      <c r="L13" s="90" t="n"/>
    </row>
    <row r="14">
      <c r="A14" s="121" t="n">
        <v>8810001493</v>
      </c>
      <c r="B14" s="90" t="inlineStr">
        <is>
          <t>HSA-316(一體式-100H)</t>
        </is>
      </c>
      <c r="C14" s="123" t="n">
        <v>0</v>
      </c>
      <c r="D14" s="123" t="n">
        <v>0</v>
      </c>
      <c r="E14" s="123" t="n">
        <v>0</v>
      </c>
      <c r="F14" s="123" t="n">
        <v>0</v>
      </c>
      <c r="G14" s="123" t="n"/>
      <c r="H14" s="88">
        <f>SUM(C14:F14)</f>
        <v/>
      </c>
      <c r="I14" s="102" t="n"/>
      <c r="K14" s="33" t="n"/>
      <c r="L14" s="90" t="n"/>
    </row>
    <row r="15">
      <c r="A15" s="121" t="n">
        <v>8810001495</v>
      </c>
      <c r="B15" s="90" t="inlineStr">
        <is>
          <t>HSA-316(一體式-200H)</t>
        </is>
      </c>
      <c r="C15" s="123" t="n">
        <v>0</v>
      </c>
      <c r="D15" s="123" t="n">
        <v>0</v>
      </c>
      <c r="E15" s="73" t="n">
        <v>0</v>
      </c>
      <c r="F15" s="123" t="n">
        <v>0</v>
      </c>
      <c r="G15" s="123" t="n"/>
      <c r="H15" s="88">
        <f>SUM(C15:F15)</f>
        <v/>
      </c>
      <c r="I15" s="102" t="n"/>
      <c r="K15" s="33" t="n"/>
      <c r="L15" s="90" t="n"/>
    </row>
    <row r="16">
      <c r="A16" s="121" t="n">
        <v>8810001421</v>
      </c>
      <c r="B16" s="112" t="inlineStr">
        <is>
          <t>HSA-220</t>
        </is>
      </c>
      <c r="C16" s="123" t="n">
        <v>0</v>
      </c>
      <c r="D16" s="123" t="n">
        <v>0</v>
      </c>
      <c r="E16" s="123" t="n">
        <v>0</v>
      </c>
      <c r="F16" s="123" t="n">
        <v>0</v>
      </c>
      <c r="G16" s="123" t="n"/>
      <c r="H16" s="83">
        <f>SUM(C16:F16)</f>
        <v/>
      </c>
      <c r="I16" s="102" t="n"/>
      <c r="K16" s="86" t="n"/>
      <c r="L16" s="112" t="inlineStr">
        <is>
          <t>HSA-220</t>
        </is>
      </c>
    </row>
    <row r="17">
      <c r="A17" s="125" t="n">
        <v>8810001422</v>
      </c>
      <c r="B17" s="112" t="inlineStr">
        <is>
          <t>HSA-320</t>
        </is>
      </c>
      <c r="C17" s="123" t="n">
        <v>0</v>
      </c>
      <c r="D17" s="123" t="n">
        <v>0</v>
      </c>
      <c r="E17" s="123" t="n">
        <v>0</v>
      </c>
      <c r="F17" s="123" t="n">
        <v>0</v>
      </c>
      <c r="G17" s="123" t="n"/>
      <c r="H17" s="83">
        <f>SUM(C17:F17)</f>
        <v/>
      </c>
      <c r="I17" s="102" t="n"/>
      <c r="K17" s="35" t="n"/>
      <c r="L17" s="112" t="inlineStr">
        <is>
          <t>HSA-320</t>
        </is>
      </c>
      <c r="M17" s="77" t="n"/>
      <c r="N17" s="89" t="n">
        <v>2</v>
      </c>
    </row>
    <row r="18">
      <c r="A18" s="125" t="n">
        <v>8810001534</v>
      </c>
      <c r="B18" s="112" t="inlineStr">
        <is>
          <t>HSA-320_NEO</t>
        </is>
      </c>
      <c r="C18" s="123" t="n">
        <v>0</v>
      </c>
      <c r="D18" s="123" t="n">
        <v>0</v>
      </c>
      <c r="E18" s="123" t="n">
        <v>0</v>
      </c>
      <c r="F18" s="123" t="n">
        <v>0</v>
      </c>
      <c r="G18" s="123" t="n"/>
      <c r="H18" s="83">
        <f>SUM(C18:F18)</f>
        <v/>
      </c>
      <c r="I18" s="102" t="n"/>
      <c r="K18" s="35" t="n"/>
      <c r="L18" s="112" t="n"/>
      <c r="M18" s="77" t="n"/>
    </row>
    <row r="19">
      <c r="A19" s="125" t="n">
        <v>8810001316</v>
      </c>
      <c r="B19" s="112" t="inlineStr">
        <is>
          <t>HSA323</t>
        </is>
      </c>
      <c r="C19" s="123" t="n">
        <v>0</v>
      </c>
      <c r="D19" s="123" t="n">
        <v>0</v>
      </c>
      <c r="E19" s="123" t="n">
        <v>0</v>
      </c>
      <c r="F19" s="123" t="n">
        <v>1</v>
      </c>
      <c r="G19" s="123" t="n"/>
      <c r="H19" s="83">
        <f>SUM(C19:F19)</f>
        <v/>
      </c>
      <c r="I19" s="102" t="n"/>
      <c r="K19" s="33" t="n"/>
      <c r="L19" s="112" t="inlineStr">
        <is>
          <t>HSA323</t>
        </is>
      </c>
      <c r="M19" s="89" t="inlineStr">
        <is>
          <t>M4:5.5HR,M3:32HR</t>
        </is>
      </c>
    </row>
    <row r="20">
      <c r="A20" s="121" t="n">
        <v>8810001425</v>
      </c>
      <c r="B20" s="112" t="inlineStr">
        <is>
          <t>HSA328</t>
        </is>
      </c>
      <c r="C20" s="123" t="n">
        <v>0</v>
      </c>
      <c r="D20" s="123" t="n">
        <v>0</v>
      </c>
      <c r="E20" s="123" t="n">
        <v>1</v>
      </c>
      <c r="F20" s="123" t="n">
        <v>0</v>
      </c>
      <c r="G20" s="123" t="n"/>
      <c r="H20" s="83">
        <f>SUM(C20:F20)</f>
        <v/>
      </c>
      <c r="I20" s="102" t="n"/>
      <c r="K20" s="86" t="n"/>
      <c r="L20" s="112" t="inlineStr">
        <is>
          <t>HSA328</t>
        </is>
      </c>
    </row>
    <row r="21">
      <c r="A21" s="125" t="n">
        <v>8810001317</v>
      </c>
      <c r="B21" s="112" t="inlineStr">
        <is>
          <t>HSA327</t>
        </is>
      </c>
      <c r="C21" s="123" t="n">
        <v>0</v>
      </c>
      <c r="D21" s="123" t="n">
        <v>0</v>
      </c>
      <c r="E21" s="123" t="n">
        <v>0</v>
      </c>
      <c r="F21" s="123" t="n">
        <v>0</v>
      </c>
      <c r="G21" s="123" t="n"/>
      <c r="H21" s="83">
        <f>SUM(C21:F21)</f>
        <v/>
      </c>
      <c r="I21" s="102" t="n">
        <v>0</v>
      </c>
      <c r="K21" s="35" t="n"/>
      <c r="L21" s="112" t="inlineStr">
        <is>
          <t>HSA327</t>
        </is>
      </c>
    </row>
    <row r="22">
      <c r="A22" s="121" t="n">
        <v>8810001423</v>
      </c>
      <c r="B22" s="112" t="inlineStr">
        <is>
          <t>HSA-420</t>
        </is>
      </c>
      <c r="C22" s="123" t="n">
        <v>0</v>
      </c>
      <c r="D22" s="123" t="n">
        <v>0</v>
      </c>
      <c r="E22" s="123" t="n">
        <v>0</v>
      </c>
      <c r="F22" s="123" t="n">
        <v>0</v>
      </c>
      <c r="G22" s="123" t="n"/>
      <c r="H22" s="88">
        <f>SUM(C22:F22)</f>
        <v/>
      </c>
      <c r="I22" s="102" t="n"/>
      <c r="K22" s="86" t="n"/>
      <c r="L22" s="112" t="inlineStr">
        <is>
          <t>HSA-420</t>
        </is>
      </c>
      <c r="N22" s="89" t="n">
        <v>1</v>
      </c>
    </row>
    <row r="23">
      <c r="A23" s="125" t="n">
        <v>8810001277</v>
      </c>
      <c r="B23" s="90" t="inlineStr">
        <is>
          <t>HSA423</t>
        </is>
      </c>
      <c r="C23" s="123" t="n">
        <v>2</v>
      </c>
      <c r="D23" s="123" t="n">
        <v>0</v>
      </c>
      <c r="E23" s="123" t="n">
        <v>0</v>
      </c>
      <c r="F23" s="73" t="n">
        <v>1</v>
      </c>
      <c r="G23" s="123" t="n"/>
      <c r="H23" s="83">
        <f>SUM(C23:F23)</f>
        <v/>
      </c>
      <c r="I23" s="102" t="n"/>
      <c r="K23" s="33" t="n">
        <v>2</v>
      </c>
      <c r="L23" s="90" t="inlineStr">
        <is>
          <t>HSA423</t>
        </is>
      </c>
      <c r="M23" s="89" t="inlineStr">
        <is>
          <t>M4:6.5HR，M3:46.5HR</t>
        </is>
      </c>
      <c r="N23" s="78" t="n">
        <v>1</v>
      </c>
    </row>
    <row r="24">
      <c r="A24" s="123" t="n">
        <v>8810001250</v>
      </c>
      <c r="B24" s="4" t="inlineStr">
        <is>
          <t>HSA423_NEO</t>
        </is>
      </c>
      <c r="C24" s="123" t="n">
        <v>0</v>
      </c>
      <c r="D24" s="123" t="n">
        <v>0</v>
      </c>
      <c r="E24" s="123" t="n">
        <v>0</v>
      </c>
      <c r="F24" s="123" t="n">
        <v>0</v>
      </c>
      <c r="G24" s="123" t="n"/>
      <c r="H24" s="88">
        <f>SUM(C24:F24)</f>
        <v/>
      </c>
      <c r="I24" s="102" t="n"/>
      <c r="K24" s="35" t="n"/>
    </row>
    <row r="25">
      <c r="A25" s="123" t="n">
        <v>8810001278</v>
      </c>
      <c r="B25" s="90" t="inlineStr">
        <is>
          <t>HSA427</t>
        </is>
      </c>
      <c r="C25" s="123" t="n">
        <v>0</v>
      </c>
      <c r="D25" s="73" t="n">
        <v>0</v>
      </c>
      <c r="E25" s="123" t="n">
        <v>0</v>
      </c>
      <c r="F25" s="123" t="n">
        <v>0</v>
      </c>
      <c r="G25" s="123" t="n"/>
      <c r="H25" s="83">
        <f>SUM(C25:F25)</f>
        <v/>
      </c>
      <c r="I25" s="102" t="n"/>
      <c r="K25" s="33" t="n"/>
      <c r="L25" s="90" t="inlineStr">
        <is>
          <t>HSA427</t>
        </is>
      </c>
    </row>
    <row r="26">
      <c r="A26" s="123" t="n">
        <v>8810001252</v>
      </c>
      <c r="B26" s="112" t="inlineStr">
        <is>
          <t>HSA428</t>
        </is>
      </c>
      <c r="C26" s="123" t="n">
        <v>0</v>
      </c>
      <c r="D26" s="73" t="n">
        <v>0</v>
      </c>
      <c r="E26" s="123" t="n">
        <v>0</v>
      </c>
      <c r="F26" s="123" t="n">
        <v>0</v>
      </c>
      <c r="G26" s="123" t="n"/>
      <c r="H26" s="83">
        <f>SUM(C26:F26)</f>
        <v/>
      </c>
      <c r="I26" s="102" t="n"/>
      <c r="K26" s="35" t="n"/>
      <c r="L26" s="112" t="inlineStr">
        <is>
          <t>HSA428</t>
        </is>
      </c>
    </row>
    <row r="27">
      <c r="A27" s="123" t="n">
        <v>8810001359</v>
      </c>
      <c r="B27" s="4" t="inlineStr">
        <is>
          <t>HSA-523</t>
        </is>
      </c>
      <c r="C27" s="123" t="n">
        <v>0</v>
      </c>
      <c r="D27" s="73" t="n">
        <v>0</v>
      </c>
      <c r="E27" s="123" t="n">
        <v>0</v>
      </c>
      <c r="F27" s="123" t="n">
        <v>0</v>
      </c>
      <c r="G27" s="123" t="n"/>
      <c r="H27" s="88">
        <f>SUM(C27:F27)</f>
        <v/>
      </c>
      <c r="I27" s="102" t="n"/>
      <c r="K27" s="35" t="n"/>
      <c r="L27" s="4" t="inlineStr">
        <is>
          <t>HSA-523</t>
        </is>
      </c>
    </row>
    <row r="28">
      <c r="A28" s="123" t="n">
        <v>8810001355</v>
      </c>
      <c r="B28" s="4" t="inlineStr">
        <is>
          <t>HSA-527</t>
        </is>
      </c>
      <c r="C28" s="123" t="n">
        <v>0</v>
      </c>
      <c r="D28" s="73" t="n">
        <v>0</v>
      </c>
      <c r="E28" s="123" t="n">
        <v>0</v>
      </c>
      <c r="F28" s="123" t="n">
        <v>0</v>
      </c>
      <c r="G28" s="123" t="n"/>
      <c r="H28" s="83">
        <f>SUM(C28:F28)</f>
        <v/>
      </c>
      <c r="I28" s="102" t="n"/>
      <c r="K28" s="35" t="n"/>
      <c r="L28" s="4" t="inlineStr">
        <is>
          <t>HSA-527</t>
        </is>
      </c>
    </row>
    <row r="29">
      <c r="A29" s="122" t="n">
        <v>8810001248</v>
      </c>
      <c r="B29" s="90" t="inlineStr">
        <is>
          <t>HSA-528</t>
        </is>
      </c>
      <c r="C29" s="39" t="n">
        <v>0</v>
      </c>
      <c r="D29" s="73" t="n">
        <v>1</v>
      </c>
      <c r="E29" s="123" t="n">
        <v>0</v>
      </c>
      <c r="F29" s="123" t="n">
        <v>0</v>
      </c>
      <c r="G29" s="123" t="n"/>
      <c r="H29" s="83">
        <f>SUM(C29:F29)</f>
        <v/>
      </c>
      <c r="I29" s="102" t="n"/>
      <c r="K29" s="33" t="n"/>
      <c r="L29" s="90" t="inlineStr">
        <is>
          <t>HSA-528</t>
        </is>
      </c>
      <c r="M29" s="89" t="inlineStr">
        <is>
          <t>12/10 庫存已扣</t>
        </is>
      </c>
      <c r="N29" s="89" t="n">
        <v>1</v>
      </c>
    </row>
    <row r="30">
      <c r="A30" s="123" t="n">
        <v>8810001265</v>
      </c>
      <c r="B30" s="112" t="inlineStr">
        <is>
          <t>HSA536</t>
        </is>
      </c>
      <c r="C30" s="123" t="n">
        <v>0</v>
      </c>
      <c r="D30" s="73" t="n">
        <v>0</v>
      </c>
      <c r="E30" s="123" t="n">
        <v>0</v>
      </c>
      <c r="F30" s="123" t="n">
        <v>0</v>
      </c>
      <c r="G30" s="123" t="n"/>
      <c r="H30" s="88">
        <f>SUM(C30:F30)</f>
        <v/>
      </c>
      <c r="I30" s="102" t="n"/>
      <c r="K30" s="35" t="n"/>
      <c r="L30" s="112" t="inlineStr">
        <is>
          <t>HSA536</t>
        </is>
      </c>
      <c r="M30" s="89" t="inlineStr">
        <is>
          <t>3/29興隆興入1台</t>
        </is>
      </c>
    </row>
    <row r="31">
      <c r="A31" s="123" t="n">
        <v>8810001409</v>
      </c>
      <c r="B31" s="90" t="inlineStr">
        <is>
          <t>HSA-623主底座</t>
        </is>
      </c>
      <c r="C31" s="123" t="n">
        <v>0</v>
      </c>
      <c r="D31" s="123" t="n">
        <v>0</v>
      </c>
      <c r="E31" s="123" t="n">
        <v>0</v>
      </c>
      <c r="F31" s="123" t="n">
        <v>0</v>
      </c>
      <c r="G31" s="123" t="n"/>
      <c r="H31" s="83">
        <f>SUM(C31:F31)</f>
        <v/>
      </c>
      <c r="I31" s="102" t="n"/>
      <c r="K31" s="86" t="n"/>
    </row>
    <row r="32">
      <c r="A32" s="123" t="n">
        <v>8810001336</v>
      </c>
      <c r="B32" s="90" t="inlineStr">
        <is>
          <t>HSA-623副底座</t>
        </is>
      </c>
      <c r="C32" s="123" t="n">
        <v>0</v>
      </c>
      <c r="D32" s="123" t="n">
        <v>0</v>
      </c>
      <c r="E32" s="123" t="n">
        <v>0</v>
      </c>
      <c r="F32" s="123" t="n">
        <v>0</v>
      </c>
      <c r="G32" s="123" t="n"/>
      <c r="H32" s="83">
        <f>SUM(C32:F32)</f>
        <v/>
      </c>
      <c r="I32" s="102" t="n"/>
      <c r="K32" s="86" t="n"/>
    </row>
    <row r="33">
      <c r="A33" s="123" t="n">
        <v>8810001334</v>
      </c>
      <c r="B33" s="112" t="inlineStr">
        <is>
          <t>HSA-627主底座</t>
        </is>
      </c>
      <c r="C33" s="123" t="n">
        <v>0</v>
      </c>
      <c r="D33" s="123" t="n">
        <v>0</v>
      </c>
      <c r="E33" s="123" t="n">
        <v>0</v>
      </c>
      <c r="F33" s="123" t="n">
        <v>0</v>
      </c>
      <c r="G33" s="123" t="n"/>
      <c r="H33" s="88">
        <f>SUM(C33:F33)</f>
        <v/>
      </c>
      <c r="I33" s="102" t="n"/>
      <c r="K33" s="35" t="n"/>
    </row>
    <row r="34">
      <c r="A34" s="123" t="n">
        <v>8810001336</v>
      </c>
      <c r="B34" s="112" t="inlineStr">
        <is>
          <t>HSA-627副底座</t>
        </is>
      </c>
      <c r="C34" s="123" t="n">
        <v>0</v>
      </c>
      <c r="D34" s="123" t="n">
        <v>0</v>
      </c>
      <c r="E34" s="123" t="n">
        <v>0</v>
      </c>
      <c r="F34" s="123" t="n">
        <v>0</v>
      </c>
      <c r="G34" s="123" t="n"/>
      <c r="H34" s="88">
        <f>SUM(C34:F34)</f>
        <v/>
      </c>
      <c r="I34" s="102" t="n"/>
      <c r="K34" s="35" t="n"/>
    </row>
    <row r="35">
      <c r="A35" s="122" t="n">
        <v>8810001352</v>
      </c>
      <c r="B35" s="90" t="inlineStr">
        <is>
          <t>HSA-628主底座</t>
        </is>
      </c>
      <c r="C35" s="123" t="n">
        <v>0</v>
      </c>
      <c r="D35" s="123" t="n">
        <v>0</v>
      </c>
      <c r="E35" s="123" t="n">
        <v>0</v>
      </c>
      <c r="F35" s="123" t="n">
        <v>0</v>
      </c>
      <c r="G35" s="123" t="n"/>
      <c r="H35" s="88">
        <f>SUM(C35:F35)</f>
        <v/>
      </c>
      <c r="I35" s="102" t="n"/>
      <c r="K35" s="35" t="n"/>
      <c r="M35" s="89" t="inlineStr">
        <is>
          <t>M3:45.5HR</t>
        </is>
      </c>
    </row>
    <row r="36">
      <c r="A36" s="122" t="n">
        <v>8810001353</v>
      </c>
      <c r="B36" s="90" t="inlineStr">
        <is>
          <t>HSA-628副底座</t>
        </is>
      </c>
      <c r="C36" s="123" t="n">
        <v>0</v>
      </c>
      <c r="D36" s="123" t="n">
        <v>0</v>
      </c>
      <c r="E36" s="123" t="n">
        <v>0</v>
      </c>
      <c r="F36" s="123" t="n">
        <v>0</v>
      </c>
      <c r="G36" s="123" t="n"/>
      <c r="H36" s="88">
        <f>SUM(C36:F36)</f>
        <v/>
      </c>
      <c r="I36" s="102" t="n"/>
      <c r="K36" s="35" t="n"/>
      <c r="M36" s="89" t="inlineStr">
        <is>
          <t>M3:19HR</t>
        </is>
      </c>
    </row>
    <row r="37">
      <c r="A37" s="123" t="n">
        <v>8810001367</v>
      </c>
      <c r="B37" s="112" t="inlineStr">
        <is>
          <t>HSA636主底座</t>
        </is>
      </c>
      <c r="C37" s="123" t="n">
        <v>0</v>
      </c>
      <c r="D37" s="123" t="n">
        <v>0</v>
      </c>
      <c r="E37" s="123" t="n">
        <v>0</v>
      </c>
      <c r="F37" s="123" t="n"/>
      <c r="G37" s="123" t="n"/>
      <c r="H37" s="88">
        <f>SUM(C37:F37)</f>
        <v/>
      </c>
      <c r="I37" s="102" t="n"/>
      <c r="K37" s="35" t="n"/>
    </row>
    <row r="38">
      <c r="A38" s="123" t="n">
        <v>8810001366</v>
      </c>
      <c r="B38" s="90" t="inlineStr">
        <is>
          <t>HSA-636副底座</t>
        </is>
      </c>
      <c r="C38" s="73" t="n">
        <v>0</v>
      </c>
      <c r="D38" s="123" t="n">
        <v>0</v>
      </c>
      <c r="E38" s="123" t="n">
        <v>0</v>
      </c>
      <c r="F38" s="123" t="n"/>
      <c r="G38" s="123" t="n"/>
      <c r="H38" s="88">
        <f>SUM(C38:F38)</f>
        <v/>
      </c>
      <c r="I38" s="102" t="n"/>
      <c r="K38" s="35" t="n"/>
    </row>
    <row r="39">
      <c r="A39" s="123" t="n">
        <v>8810001400</v>
      </c>
      <c r="B39" s="112" t="inlineStr">
        <is>
          <t>HSA728主底座</t>
        </is>
      </c>
      <c r="C39" s="73" t="n">
        <v>0</v>
      </c>
      <c r="D39" s="123" t="n">
        <v>0</v>
      </c>
      <c r="E39" s="123" t="n">
        <v>0</v>
      </c>
      <c r="F39" s="123" t="n"/>
      <c r="G39" s="123" t="n"/>
      <c r="H39" s="88">
        <f>SUM(C39:F39)</f>
        <v/>
      </c>
      <c r="I39" s="102" t="n"/>
      <c r="K39" s="35" t="n"/>
    </row>
    <row r="40">
      <c r="A40" s="123" t="n">
        <v>8810001401</v>
      </c>
      <c r="B40" s="90" t="inlineStr">
        <is>
          <t>HSA-728副底座</t>
        </is>
      </c>
      <c r="C40" s="73" t="n">
        <v>0</v>
      </c>
      <c r="D40" s="123" t="n">
        <v>0</v>
      </c>
      <c r="E40" s="123" t="n">
        <v>0</v>
      </c>
      <c r="F40" s="123" t="n"/>
      <c r="G40" s="123" t="n"/>
      <c r="H40" s="88">
        <f>SUM(C40:F40)</f>
        <v/>
      </c>
      <c r="I40" s="102" t="n"/>
      <c r="K40" s="35" t="n"/>
    </row>
    <row r="41">
      <c r="A41" s="123" t="n">
        <v>8810001369</v>
      </c>
      <c r="B41" s="112" t="inlineStr">
        <is>
          <t>HSA736主底座</t>
        </is>
      </c>
      <c r="C41" s="123" t="inlineStr">
        <is>
          <t>C</t>
        </is>
      </c>
      <c r="D41" s="123" t="n">
        <v>0</v>
      </c>
      <c r="E41" s="123" t="n">
        <v>0</v>
      </c>
      <c r="F41" s="123" t="n"/>
      <c r="G41" s="123" t="n"/>
      <c r="H41" s="88">
        <f>SUM(C41:F41)</f>
        <v/>
      </c>
      <c r="I41" s="102" t="n"/>
      <c r="K41" s="35" t="n"/>
    </row>
    <row r="42">
      <c r="A42" s="123" t="n">
        <v>8810001373</v>
      </c>
      <c r="B42" s="90" t="inlineStr">
        <is>
          <t>HSA-736副底座</t>
        </is>
      </c>
      <c r="C42" s="73" t="n">
        <v>0</v>
      </c>
      <c r="D42" s="123" t="n">
        <v>0</v>
      </c>
      <c r="E42" s="123" t="n">
        <v>0</v>
      </c>
      <c r="F42" s="123" t="n"/>
      <c r="G42" s="123" t="n"/>
      <c r="H42" s="88">
        <f>SUM(C42:F42)</f>
        <v/>
      </c>
      <c r="I42" s="102" t="n"/>
      <c r="K42" s="35" t="n"/>
    </row>
    <row r="43">
      <c r="A43" s="122" t="n">
        <v>8810001067</v>
      </c>
      <c r="B43" s="4" t="inlineStr">
        <is>
          <t>PBM135-X軸(3米)</t>
        </is>
      </c>
      <c r="C43" s="123" t="n">
        <v>0</v>
      </c>
      <c r="D43" s="123" t="n">
        <v>0</v>
      </c>
      <c r="E43" s="123" t="n">
        <v>0</v>
      </c>
      <c r="F43" s="123" t="n">
        <v>0</v>
      </c>
      <c r="G43" s="123" t="n">
        <v>0</v>
      </c>
      <c r="H43" s="83">
        <f>SUM(C43:G43)</f>
        <v/>
      </c>
      <c r="I43" s="102" t="n"/>
      <c r="K43" s="35" t="n"/>
    </row>
    <row r="44">
      <c r="A44" s="122" t="n">
        <v>8810001224</v>
      </c>
      <c r="B44" s="4" t="inlineStr">
        <is>
          <t>PBM135-X軸(4米)</t>
        </is>
      </c>
      <c r="C44" s="123" t="n">
        <v>0</v>
      </c>
      <c r="D44" s="123" t="n">
        <v>0</v>
      </c>
      <c r="E44" s="123" t="n">
        <v>0</v>
      </c>
      <c r="F44" s="123" t="n">
        <v>0</v>
      </c>
      <c r="G44" s="123" t="n">
        <v>0</v>
      </c>
      <c r="H44" s="88">
        <f>SUM(C44:G44)</f>
        <v/>
      </c>
      <c r="I44" s="102" t="n"/>
      <c r="K44" s="35" t="n"/>
    </row>
    <row r="45">
      <c r="A45" s="123" t="n">
        <v>8810001365</v>
      </c>
      <c r="B45" s="112" t="inlineStr">
        <is>
          <t>PBM135-Z軸底座</t>
        </is>
      </c>
      <c r="C45" s="123" t="n">
        <v>0</v>
      </c>
      <c r="D45" s="123" t="n">
        <v>0</v>
      </c>
      <c r="E45" s="123" t="n">
        <v>0</v>
      </c>
      <c r="F45" s="123" t="n">
        <v>0</v>
      </c>
      <c r="G45" s="123" t="n"/>
      <c r="H45" s="88">
        <f>SUM(C45:F45)</f>
        <v/>
      </c>
      <c r="I45" s="102" t="n"/>
      <c r="K45" s="35" t="n">
        <v>0</v>
      </c>
    </row>
    <row r="46">
      <c r="A46" s="123" t="n">
        <v>8810001203</v>
      </c>
      <c r="B46" s="112" t="inlineStr">
        <is>
          <t>PBM115A-X軸底座</t>
        </is>
      </c>
      <c r="C46" s="123" t="n">
        <v>0</v>
      </c>
      <c r="D46" s="123" t="n">
        <v>0</v>
      </c>
      <c r="E46" s="123" t="n">
        <v>0</v>
      </c>
      <c r="F46" s="123" t="n">
        <v>0</v>
      </c>
      <c r="G46" s="123" t="n"/>
      <c r="H46" s="88">
        <f>SUM(C46:F46)</f>
        <v/>
      </c>
      <c r="I46" s="103" t="n"/>
      <c r="J46" s="39" t="n">
        <v>0</v>
      </c>
      <c r="K46" s="35" t="n">
        <v>0</v>
      </c>
    </row>
    <row r="47">
      <c r="A47" s="123" t="n">
        <v>8810001204</v>
      </c>
      <c r="B47" s="112" t="inlineStr">
        <is>
          <t>PBM115A-Z軸底座</t>
        </is>
      </c>
      <c r="C47" s="123" t="n">
        <v>0</v>
      </c>
      <c r="D47" s="123" t="n">
        <v>0</v>
      </c>
      <c r="E47" s="123" t="n">
        <v>0</v>
      </c>
      <c r="F47" s="123" t="n">
        <v>0</v>
      </c>
      <c r="G47" s="123" t="n"/>
      <c r="H47" s="88">
        <f>SUM(C47:F47)</f>
        <v/>
      </c>
      <c r="I47" s="102" t="n"/>
      <c r="K47" s="35" t="n">
        <v>0</v>
      </c>
    </row>
    <row r="48">
      <c r="A48" s="123" t="n">
        <v>8810001394</v>
      </c>
      <c r="B48" s="112" t="inlineStr">
        <is>
          <t>SW-220</t>
        </is>
      </c>
      <c r="C48" s="123" t="n">
        <v>0</v>
      </c>
      <c r="D48" s="123" t="n">
        <v>0</v>
      </c>
      <c r="E48" s="123" t="n">
        <v>0</v>
      </c>
      <c r="F48" s="123" t="n">
        <v>0</v>
      </c>
      <c r="G48" s="123" t="n"/>
      <c r="H48" s="88">
        <f>SUM(C48:F48)</f>
        <v/>
      </c>
      <c r="I48" s="102" t="n"/>
      <c r="K48" s="86" t="n"/>
      <c r="L48" s="67" t="n"/>
    </row>
    <row r="49">
      <c r="A49" s="121" t="n">
        <v>8810001378</v>
      </c>
      <c r="B49" s="112" t="inlineStr">
        <is>
          <t>SW-216</t>
        </is>
      </c>
      <c r="C49" s="123" t="n">
        <v>0</v>
      </c>
      <c r="D49" s="123" t="n">
        <v>0</v>
      </c>
      <c r="E49" s="123" t="n">
        <v>1</v>
      </c>
      <c r="F49" s="123" t="n">
        <v>1</v>
      </c>
      <c r="G49" s="123" t="n"/>
      <c r="H49" s="83">
        <f>SUM(C49:F49)</f>
        <v/>
      </c>
      <c r="I49" s="103" t="n"/>
      <c r="J49" s="108" t="n">
        <v>0</v>
      </c>
      <c r="K49" s="35" t="n"/>
    </row>
    <row r="50">
      <c r="A50" s="121" t="n">
        <v>8810001386</v>
      </c>
      <c r="B50" s="112" t="inlineStr">
        <is>
          <t>SW-316</t>
        </is>
      </c>
      <c r="C50" s="123" t="n">
        <v>2</v>
      </c>
      <c r="D50" s="123" t="n">
        <v>0</v>
      </c>
      <c r="E50" s="73" t="n">
        <v>0</v>
      </c>
      <c r="F50" s="123" t="n">
        <v>0</v>
      </c>
      <c r="G50" s="123" t="n"/>
      <c r="H50" s="83">
        <f>SUM(C50:F50)</f>
        <v/>
      </c>
      <c r="I50" s="102" t="n"/>
      <c r="J50" s="111" t="n">
        <v>1</v>
      </c>
      <c r="K50" s="81" t="n">
        <v>1</v>
      </c>
    </row>
    <row r="51">
      <c r="A51" s="121" t="n">
        <v>8810001396</v>
      </c>
      <c r="B51" s="112" t="inlineStr">
        <is>
          <t>SW-320</t>
        </is>
      </c>
      <c r="C51" s="123" t="n">
        <v>0</v>
      </c>
      <c r="D51" s="123" t="n">
        <v>0</v>
      </c>
      <c r="E51" s="73" t="n">
        <v>1</v>
      </c>
      <c r="F51" s="123" t="n">
        <v>0</v>
      </c>
      <c r="G51" s="123" t="n"/>
      <c r="H51" s="83">
        <f>SUM(C51:F51)</f>
        <v/>
      </c>
      <c r="I51" s="102" t="n"/>
      <c r="K51" s="35" t="n"/>
    </row>
    <row r="52">
      <c r="A52" s="121" t="n">
        <v>8810001302</v>
      </c>
      <c r="B52" s="112" t="inlineStr">
        <is>
          <t>SW323</t>
        </is>
      </c>
      <c r="C52" s="123" t="n">
        <v>1</v>
      </c>
      <c r="D52" s="123" t="n">
        <v>0</v>
      </c>
      <c r="E52" s="123" t="n">
        <v>0</v>
      </c>
      <c r="F52" s="123" t="n">
        <v>0</v>
      </c>
      <c r="G52" s="123" t="n"/>
      <c r="H52" s="83">
        <f>SUM(C52:F52)</f>
        <v/>
      </c>
      <c r="I52" s="102" t="n"/>
      <c r="J52" s="89" t="n">
        <v>0</v>
      </c>
      <c r="K52" s="35" t="n"/>
    </row>
    <row r="53">
      <c r="A53" s="121" t="n">
        <v>8810001297</v>
      </c>
      <c r="B53" s="112" t="inlineStr">
        <is>
          <t>SW326</t>
        </is>
      </c>
      <c r="C53" s="123" t="n">
        <v>0</v>
      </c>
      <c r="D53" s="123" t="n">
        <v>0</v>
      </c>
      <c r="E53" s="123" t="n">
        <v>0</v>
      </c>
      <c r="F53" s="123" t="n">
        <v>0</v>
      </c>
      <c r="G53" s="71" t="n"/>
      <c r="H53" s="83">
        <f>SUM(C53:F53)</f>
        <v/>
      </c>
      <c r="I53" s="102" t="n"/>
      <c r="K53" s="35" t="n">
        <v>0</v>
      </c>
    </row>
    <row r="54">
      <c r="A54" s="121" t="n">
        <v>8810001398</v>
      </c>
      <c r="B54" s="112" t="inlineStr">
        <is>
          <t>SW420</t>
        </is>
      </c>
      <c r="C54" s="123" t="n">
        <v>0</v>
      </c>
      <c r="D54" s="123" t="n">
        <v>0</v>
      </c>
      <c r="E54" s="123" t="n">
        <v>0</v>
      </c>
      <c r="F54" s="123" t="n">
        <v>0</v>
      </c>
      <c r="G54" s="123" t="n"/>
      <c r="H54" s="88">
        <f>SUM(C54:F54)</f>
        <v/>
      </c>
      <c r="I54" s="102" t="n"/>
      <c r="K54" s="35" t="n"/>
    </row>
    <row r="55">
      <c r="A55" s="121" t="n">
        <v>8810001270</v>
      </c>
      <c r="B55" s="112" t="inlineStr">
        <is>
          <t>SW423</t>
        </is>
      </c>
      <c r="C55" s="123" t="n">
        <v>0</v>
      </c>
      <c r="D55" s="123" t="n">
        <v>1</v>
      </c>
      <c r="E55" s="123" t="n">
        <v>1</v>
      </c>
      <c r="F55" s="73" t="n">
        <v>0</v>
      </c>
      <c r="G55" s="73" t="n"/>
      <c r="H55" s="83">
        <f>SUM(C55:F55)</f>
        <v/>
      </c>
      <c r="I55" s="102" t="n"/>
      <c r="K55" s="35" t="n"/>
      <c r="M55" s="89" t="inlineStr">
        <is>
          <t>M4:5.5HR M3:41HR M7:7HR</t>
        </is>
      </c>
      <c r="N55" s="89" t="n">
        <v>3</v>
      </c>
      <c r="O55" s="89" t="inlineStr">
        <is>
          <t>轉研</t>
        </is>
      </c>
    </row>
    <row r="56">
      <c r="A56" s="121" t="n">
        <v>8810001388</v>
      </c>
      <c r="B56" s="23" t="inlineStr">
        <is>
          <t>SW-416</t>
        </is>
      </c>
      <c r="C56" s="73" t="n">
        <v>0</v>
      </c>
      <c r="D56" s="123" t="n">
        <v>0</v>
      </c>
      <c r="E56" s="123" t="n">
        <v>0</v>
      </c>
      <c r="F56" s="123" t="n">
        <v>0</v>
      </c>
      <c r="G56" s="123" t="n"/>
      <c r="H56" s="88">
        <f>SUM(C56:F56)</f>
        <v/>
      </c>
      <c r="I56" s="102" t="n"/>
      <c r="K56" s="35" t="n"/>
    </row>
    <row r="57">
      <c r="A57" s="121" t="n">
        <v>8810001244</v>
      </c>
      <c r="B57" s="112" t="inlineStr">
        <is>
          <t>SW-426</t>
        </is>
      </c>
      <c r="C57" s="123" t="n">
        <v>0</v>
      </c>
      <c r="D57" s="123" t="n">
        <v>0</v>
      </c>
      <c r="E57" s="123" t="n">
        <v>1</v>
      </c>
      <c r="F57" s="123" t="n">
        <v>0</v>
      </c>
      <c r="G57" s="123" t="n"/>
      <c r="H57" s="83">
        <f>SUM(C57:F57)</f>
        <v/>
      </c>
      <c r="I57" s="102" t="n"/>
      <c r="K57" s="35" t="n"/>
    </row>
    <row r="58">
      <c r="A58" s="121" t="n">
        <v>8810001304</v>
      </c>
      <c r="B58" s="112" t="inlineStr">
        <is>
          <t>SW-523</t>
        </is>
      </c>
      <c r="C58" s="123" t="n">
        <v>0</v>
      </c>
      <c r="D58" s="123" t="n">
        <v>0</v>
      </c>
      <c r="E58" s="123" t="n">
        <v>0</v>
      </c>
      <c r="F58" s="123" t="n">
        <v>0</v>
      </c>
      <c r="G58" s="123" t="n"/>
      <c r="H58" s="88">
        <f>SUM(C58:F58)</f>
        <v/>
      </c>
      <c r="I58" s="102" t="n"/>
      <c r="K58" s="35" t="n"/>
    </row>
    <row r="59">
      <c r="A59" s="121" t="n">
        <v>8810001274</v>
      </c>
      <c r="B59" s="112" t="inlineStr">
        <is>
          <t>SW-526</t>
        </is>
      </c>
      <c r="C59" s="123" t="n">
        <v>0</v>
      </c>
      <c r="D59" s="123" t="n">
        <v>0</v>
      </c>
      <c r="E59" s="123" t="n">
        <v>0</v>
      </c>
      <c r="F59" s="123" t="n">
        <v>0</v>
      </c>
      <c r="G59" s="123" t="n"/>
      <c r="H59" s="88">
        <f>SUM(C59:F59)</f>
        <v/>
      </c>
      <c r="I59" s="102" t="n"/>
      <c r="K59" s="35" t="n"/>
    </row>
    <row r="60">
      <c r="A60" s="121" t="n">
        <v>8810000938</v>
      </c>
      <c r="B60" s="116" t="inlineStr">
        <is>
          <t>LG-500</t>
        </is>
      </c>
      <c r="C60" s="43" t="n">
        <v>0</v>
      </c>
      <c r="D60" s="65" t="n">
        <v>0</v>
      </c>
      <c r="E60" s="65" t="n">
        <v>0</v>
      </c>
      <c r="F60" s="43" t="n">
        <v>0</v>
      </c>
      <c r="G60" s="74" t="n"/>
      <c r="H60" s="70">
        <f>SUM(C60:G60)</f>
        <v/>
      </c>
      <c r="I60" s="106" t="n"/>
      <c r="J60" s="74" t="n">
        <v>0</v>
      </c>
      <c r="K60" s="35" t="n"/>
      <c r="L60" s="89" t="n">
        <v>34</v>
      </c>
    </row>
    <row r="61">
      <c r="A61" s="121" t="n">
        <v>8810000964</v>
      </c>
      <c r="B61" s="116" t="inlineStr">
        <is>
          <t>LG-800</t>
        </is>
      </c>
      <c r="C61" s="123" t="n">
        <v>0</v>
      </c>
      <c r="D61" s="123" t="n">
        <v>0</v>
      </c>
      <c r="E61" s="123" t="n">
        <v>5</v>
      </c>
      <c r="F61" s="123" t="n">
        <v>0</v>
      </c>
      <c r="G61" s="123" t="n"/>
      <c r="H61" s="88">
        <f>SUM(C61:F61)</f>
        <v/>
      </c>
      <c r="I61" s="102" t="n"/>
      <c r="K61" s="35" t="n"/>
    </row>
    <row r="62">
      <c r="A62" s="121" t="n">
        <v>8810001242</v>
      </c>
      <c r="B62" s="116" t="inlineStr">
        <is>
          <t>LG-1370</t>
        </is>
      </c>
      <c r="C62" s="123" t="n">
        <v>0</v>
      </c>
      <c r="D62" s="123" t="n">
        <v>0</v>
      </c>
      <c r="E62" s="123" t="n">
        <v>0</v>
      </c>
      <c r="F62" s="123" t="n">
        <v>0</v>
      </c>
      <c r="G62" s="123" t="n"/>
      <c r="H62" s="88">
        <f>SUM(C62:F62)</f>
        <v/>
      </c>
      <c r="I62" s="102" t="n"/>
      <c r="K62" s="35" t="n"/>
    </row>
    <row r="63">
      <c r="A63" s="121" t="n">
        <v>8810000868</v>
      </c>
      <c r="B63" s="117" t="inlineStr">
        <is>
          <t>MVP-860</t>
        </is>
      </c>
      <c r="C63" s="43" t="n">
        <v>0</v>
      </c>
      <c r="D63" s="65" t="n">
        <v>0</v>
      </c>
      <c r="E63" s="65" t="n">
        <v>4</v>
      </c>
      <c r="F63" s="43" t="n">
        <v>0</v>
      </c>
      <c r="G63" s="74" t="n"/>
      <c r="H63" s="70">
        <f>SUM(C63:G63)</f>
        <v/>
      </c>
      <c r="I63" s="102" t="n"/>
      <c r="K63" s="35" t="n"/>
    </row>
    <row r="64">
      <c r="A64" s="121" t="n">
        <v>88100001344</v>
      </c>
      <c r="B64" s="116" t="inlineStr">
        <is>
          <t>MVP-11</t>
        </is>
      </c>
      <c r="C64" s="123" t="n">
        <v>0</v>
      </c>
      <c r="D64" s="123" t="n">
        <v>0</v>
      </c>
      <c r="E64" s="123" t="n">
        <v>0</v>
      </c>
      <c r="F64" s="123" t="n">
        <v>3</v>
      </c>
      <c r="G64" s="123" t="n"/>
      <c r="H64" s="88">
        <f>SUM(C64:F64)</f>
        <v/>
      </c>
      <c r="I64" s="102" t="n"/>
      <c r="K64" s="82" t="n"/>
    </row>
    <row r="65">
      <c r="A65" s="121" t="n">
        <v>88100001458</v>
      </c>
      <c r="B65" s="118" t="inlineStr">
        <is>
          <t>A10</t>
        </is>
      </c>
      <c r="C65" s="123" t="n">
        <v>0</v>
      </c>
      <c r="D65" s="123" t="n">
        <v>0</v>
      </c>
      <c r="E65" s="123" t="n">
        <v>0</v>
      </c>
      <c r="F65" s="123" t="n">
        <v>0</v>
      </c>
      <c r="G65" s="90" t="n"/>
      <c r="H65" s="88">
        <f>SUM(C65:F65)</f>
        <v/>
      </c>
      <c r="I65" s="102" t="n"/>
      <c r="K65" s="35" t="n"/>
    </row>
    <row r="66">
      <c r="A66" s="121" t="n">
        <v>88100001190</v>
      </c>
      <c r="B66" s="118" t="inlineStr">
        <is>
          <t>S-PLUS</t>
        </is>
      </c>
      <c r="C66" s="123" t="n">
        <v>0</v>
      </c>
      <c r="D66" s="123" t="n">
        <v>0</v>
      </c>
      <c r="E66" s="123" t="n">
        <v>0</v>
      </c>
      <c r="F66" s="123" t="n">
        <v>0</v>
      </c>
      <c r="G66" s="90" t="n"/>
      <c r="H66" s="88">
        <f>SUM(C66:F66)</f>
        <v/>
      </c>
      <c r="I66" s="102" t="n"/>
      <c r="K66" s="35" t="n"/>
    </row>
    <row r="67">
      <c r="A67" s="121" t="n">
        <v>88100001415</v>
      </c>
      <c r="B67" s="118" t="inlineStr">
        <is>
          <t>S8</t>
        </is>
      </c>
      <c r="C67" s="123" t="n">
        <v>0</v>
      </c>
      <c r="D67" s="123" t="n">
        <v>0</v>
      </c>
      <c r="E67" s="123" t="n">
        <v>0</v>
      </c>
      <c r="F67" s="123" t="n">
        <v>0</v>
      </c>
      <c r="G67" s="90" t="n"/>
      <c r="H67" s="88">
        <f>SUM(C67:F67)</f>
        <v/>
      </c>
      <c r="I67" s="102" t="n"/>
      <c r="K67" s="35" t="n"/>
    </row>
    <row r="68">
      <c r="A68" s="121" t="n">
        <v>88100001460</v>
      </c>
      <c r="B68" s="118" t="inlineStr">
        <is>
          <t>S10</t>
        </is>
      </c>
      <c r="C68" s="123" t="n">
        <v>0</v>
      </c>
      <c r="D68" s="123" t="n">
        <v>0</v>
      </c>
      <c r="E68" s="123" t="n">
        <v>0</v>
      </c>
      <c r="F68" s="123" t="n">
        <v>0</v>
      </c>
      <c r="G68" s="90" t="n"/>
      <c r="H68" s="88">
        <f>SUM(C68:F68)</f>
        <v/>
      </c>
      <c r="I68" s="102" t="n"/>
      <c r="K68" s="35" t="n"/>
    </row>
    <row r="69">
      <c r="A69" s="121" t="n">
        <v>8810001527</v>
      </c>
      <c r="B69" s="118" t="inlineStr">
        <is>
          <t>LG-1370-NEO</t>
        </is>
      </c>
      <c r="C69" s="97" t="n">
        <v>3</v>
      </c>
      <c r="D69" s="123" t="n">
        <v>0</v>
      </c>
      <c r="E69" s="123" t="n">
        <v>0</v>
      </c>
      <c r="F69" s="123" t="n">
        <v>0</v>
      </c>
      <c r="G69" s="123" t="n"/>
      <c r="H69" s="88">
        <f>SUM(C69:F69)</f>
        <v/>
      </c>
      <c r="I69" s="102" t="n"/>
      <c r="J69" s="109" t="n">
        <v>0</v>
      </c>
      <c r="K69" s="35" t="n"/>
    </row>
    <row r="70">
      <c r="A70" s="121" t="n">
        <v>8810001530</v>
      </c>
      <c r="B70" s="118" t="inlineStr">
        <is>
          <t>LG-1000-NEO</t>
        </is>
      </c>
      <c r="C70" s="123" t="n">
        <v>0</v>
      </c>
      <c r="D70" s="123" t="n">
        <v>0</v>
      </c>
      <c r="E70" s="123" t="n">
        <v>0</v>
      </c>
      <c r="F70" s="123" t="n">
        <v>0</v>
      </c>
      <c r="G70" s="99" t="n"/>
      <c r="H70" s="88">
        <f>SUM(C70:G70)</f>
        <v/>
      </c>
      <c r="I70" s="103" t="n"/>
      <c r="J70" s="96" t="n">
        <v>0</v>
      </c>
      <c r="K70" s="35" t="n"/>
      <c r="M70" s="89" t="inlineStr">
        <is>
          <t>M4:4HR，M3:16HR</t>
        </is>
      </c>
    </row>
    <row r="71">
      <c r="A71" s="125" t="n">
        <v>8810001522</v>
      </c>
      <c r="B71" s="118" t="inlineStr">
        <is>
          <t>TGV-106底座</t>
        </is>
      </c>
      <c r="C71" s="123" t="n">
        <v>0</v>
      </c>
      <c r="D71" s="123" t="n">
        <v>0</v>
      </c>
      <c r="E71" s="123" t="n">
        <v>0</v>
      </c>
      <c r="F71" s="123" t="n">
        <v>0</v>
      </c>
      <c r="G71" s="123" t="n"/>
      <c r="H71" s="88">
        <f>SUM(C71:G71)</f>
        <v/>
      </c>
      <c r="K71" s="35" t="n"/>
    </row>
    <row r="72">
      <c r="C72" s="39" t="n"/>
      <c r="D72" s="39" t="n"/>
      <c r="E72" s="39" t="n"/>
      <c r="F72" s="39" t="n"/>
      <c r="K72" s="35" t="n"/>
    </row>
    <row r="73">
      <c r="K73" s="35" t="n"/>
    </row>
    <row r="74">
      <c r="K74" s="35" t="n"/>
    </row>
    <row r="75">
      <c r="K75" s="35" t="n"/>
    </row>
  </sheetData>
  <pageMargins left="0.75" right="0.75" top="0.61" bottom="0.63" header="0.5" footer="0.5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indexed="52"/>
    <outlinePr summaryBelow="1" summaryRight="1"/>
    <pageSetUpPr/>
  </sheetPr>
  <dimension ref="A1:Q211"/>
  <sheetViews>
    <sheetView tabSelected="1" showRuler="0" zoomScale="130" zoomScaleNormal="13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0" sqref="H20"/>
    </sheetView>
  </sheetViews>
  <sheetFormatPr baseColWidth="8" defaultRowHeight="16.5"/>
  <cols>
    <col width="18.25" customWidth="1" style="89" min="1" max="1"/>
    <col width="14.125" customWidth="1" style="130" min="2" max="2"/>
    <col width="7.75" customWidth="1" style="130" min="3" max="3"/>
    <col width="8.875" customWidth="1" style="89" min="13" max="13"/>
    <col width="34.25" customWidth="1" style="130" min="14" max="14"/>
    <col width="34.75" customWidth="1" style="130" min="15" max="15"/>
  </cols>
  <sheetData>
    <row r="1">
      <c r="A1" s="90" t="inlineStr">
        <is>
          <t>品號</t>
        </is>
      </c>
      <c r="B1" s="90" t="inlineStr">
        <is>
          <t>機型</t>
        </is>
      </c>
      <c r="C1" s="90" t="inlineStr">
        <is>
          <t>素材</t>
        </is>
      </c>
      <c r="D1" s="90" t="inlineStr">
        <is>
          <t>製程1</t>
        </is>
      </c>
      <c r="E1" s="90" t="inlineStr">
        <is>
          <t>製程2</t>
        </is>
      </c>
      <c r="F1" s="90" t="inlineStr">
        <is>
          <t>製程3</t>
        </is>
      </c>
      <c r="G1" s="90" t="inlineStr">
        <is>
          <t>製程4</t>
        </is>
      </c>
      <c r="H1" s="90" t="inlineStr">
        <is>
          <t>成品</t>
        </is>
      </c>
      <c r="I1" s="123" t="n"/>
      <c r="J1" s="90" t="inlineStr">
        <is>
          <t>總數</t>
        </is>
      </c>
      <c r="K1" s="123" t="inlineStr">
        <is>
          <t>預扣件</t>
        </is>
      </c>
      <c r="L1" s="123" t="inlineStr">
        <is>
          <t>報廢品</t>
        </is>
      </c>
      <c r="P1" s="35" t="inlineStr">
        <is>
          <t>已開單</t>
        </is>
      </c>
    </row>
    <row r="2">
      <c r="A2" s="121" t="n">
        <v>8813000949</v>
      </c>
      <c r="B2" s="4" t="inlineStr">
        <is>
          <t>HEP2150</t>
        </is>
      </c>
      <c r="C2" s="73" t="n">
        <v>0</v>
      </c>
      <c r="D2" s="123" t="n">
        <v>0</v>
      </c>
      <c r="E2" s="73" t="n">
        <v>0</v>
      </c>
      <c r="F2" s="123" t="n">
        <v>0</v>
      </c>
      <c r="G2" s="123" t="n">
        <v>0</v>
      </c>
      <c r="H2" s="73" t="n">
        <v>0</v>
      </c>
      <c r="I2" s="73" t="n"/>
      <c r="J2" s="83" t="n">
        <v>0</v>
      </c>
      <c r="K2" s="83" t="n"/>
      <c r="L2" s="73" t="n"/>
      <c r="M2" s="77" t="n"/>
      <c r="N2" s="77" t="n"/>
      <c r="O2" s="77" t="n"/>
      <c r="P2" s="35" t="n"/>
    </row>
    <row r="3">
      <c r="A3" s="121" t="n">
        <v>8813001304</v>
      </c>
      <c r="B3" s="4" t="inlineStr">
        <is>
          <t>HSA-216</t>
        </is>
      </c>
      <c r="C3" s="73" t="n">
        <v>1</v>
      </c>
      <c r="D3" s="123" t="n">
        <v>1</v>
      </c>
      <c r="E3" s="73" t="n">
        <v>0</v>
      </c>
      <c r="F3" s="123" t="n">
        <v>0</v>
      </c>
      <c r="G3" s="123" t="n">
        <v>0</v>
      </c>
      <c r="H3" s="73" t="n">
        <v>5</v>
      </c>
      <c r="I3" s="44" t="n"/>
      <c r="J3" s="83" t="n">
        <v>7</v>
      </c>
      <c r="K3" s="83" t="n"/>
      <c r="L3" s="44" t="n">
        <v>0</v>
      </c>
      <c r="M3" s="77" t="n"/>
      <c r="N3" s="77" t="n"/>
      <c r="O3" s="77" t="n"/>
      <c r="P3" s="35" t="n"/>
    </row>
    <row r="4">
      <c r="A4" s="121" t="n">
        <v>8813000963</v>
      </c>
      <c r="B4" s="112" t="inlineStr">
        <is>
          <t>HEP3150</t>
        </is>
      </c>
      <c r="C4" s="73" t="n">
        <v>0</v>
      </c>
      <c r="D4" s="123" t="n">
        <v>0</v>
      </c>
      <c r="E4" s="73" t="n">
        <v>0</v>
      </c>
      <c r="F4" s="123" t="n"/>
      <c r="G4" s="123" t="n"/>
      <c r="H4" s="73" t="n">
        <v>0</v>
      </c>
      <c r="I4" s="73" t="n"/>
      <c r="J4" s="88">
        <f>SUM(C4:H4)</f>
        <v/>
      </c>
      <c r="K4" s="88" t="n"/>
      <c r="L4" s="73" t="n"/>
      <c r="M4" s="78" t="n"/>
      <c r="N4" s="78" t="n"/>
      <c r="O4" s="78" t="n"/>
      <c r="P4" s="35" t="n">
        <v>2</v>
      </c>
    </row>
    <row r="5">
      <c r="A5" s="121" t="n">
        <v>8813001305</v>
      </c>
      <c r="B5" s="112" t="inlineStr">
        <is>
          <t>HSA-316</t>
        </is>
      </c>
      <c r="C5" s="73" t="n">
        <v>2</v>
      </c>
      <c r="D5" s="123" t="n">
        <v>0</v>
      </c>
      <c r="E5" s="73" t="n">
        <v>0</v>
      </c>
      <c r="F5" s="123" t="n">
        <v>0</v>
      </c>
      <c r="G5" s="123" t="n">
        <v>0</v>
      </c>
      <c r="H5" s="73" t="n">
        <v>1</v>
      </c>
      <c r="I5" s="73" t="n"/>
      <c r="J5" s="83" t="n">
        <v>3</v>
      </c>
      <c r="K5" s="104" t="n"/>
      <c r="L5" s="44" t="n">
        <v>0</v>
      </c>
      <c r="M5" s="78" t="n"/>
      <c r="N5" s="89" t="inlineStr">
        <is>
          <t>W1:10HR,W2:27HR,W3:5.5HR</t>
        </is>
      </c>
      <c r="O5" s="78" t="n"/>
      <c r="P5" s="35" t="n"/>
    </row>
    <row r="6">
      <c r="A6" s="128" t="n">
        <v>8813001063</v>
      </c>
      <c r="B6" s="112" t="inlineStr">
        <is>
          <t>HSA-220</t>
        </is>
      </c>
      <c r="C6" s="123" t="n">
        <v>0</v>
      </c>
      <c r="D6" s="123" t="n">
        <v>0</v>
      </c>
      <c r="E6" s="73" t="n">
        <v>0</v>
      </c>
      <c r="F6" s="123" t="n"/>
      <c r="G6" s="123" t="n"/>
      <c r="H6" s="123" t="n">
        <v>0</v>
      </c>
      <c r="I6" s="123" t="n"/>
      <c r="J6" s="83">
        <f>SUM(C6:H6)</f>
        <v/>
      </c>
      <c r="K6" s="104" t="n"/>
      <c r="L6" s="123" t="n"/>
      <c r="P6" s="35" t="n"/>
    </row>
    <row r="7">
      <c r="A7" s="125" t="n">
        <v>8813001071</v>
      </c>
      <c r="B7" s="112" t="inlineStr">
        <is>
          <t>HSA-320</t>
        </is>
      </c>
      <c r="C7" s="73" t="n">
        <v>0</v>
      </c>
      <c r="D7" s="73" t="n">
        <v>0</v>
      </c>
      <c r="E7" s="73" t="n">
        <v>0</v>
      </c>
      <c r="F7" s="123" t="n"/>
      <c r="G7" s="123" t="n"/>
      <c r="H7" s="73" t="n">
        <v>0</v>
      </c>
      <c r="I7" s="44" t="n"/>
      <c r="J7" s="83">
        <f>SUM(C7:I7)</f>
        <v/>
      </c>
      <c r="K7" s="104" t="n"/>
      <c r="L7" s="44" t="n">
        <v>0</v>
      </c>
      <c r="M7" s="77" t="n"/>
      <c r="N7" s="77" t="inlineStr">
        <is>
          <t>自修T溝尺寸破工公差(第三區-噴漆)-12/22</t>
        </is>
      </c>
      <c r="O7" s="77" t="n"/>
      <c r="P7" s="35" t="n">
        <v>3</v>
      </c>
      <c r="Q7" s="89" t="inlineStr">
        <is>
          <t>12/10 庫存已扣</t>
        </is>
      </c>
    </row>
    <row r="8">
      <c r="A8" s="125" t="n">
        <v>8813001377</v>
      </c>
      <c r="B8" s="112" t="inlineStr">
        <is>
          <t>HSA-320_NEO</t>
        </is>
      </c>
      <c r="C8" s="73" t="n">
        <v>0</v>
      </c>
      <c r="D8" s="73" t="n">
        <v>0</v>
      </c>
      <c r="E8" s="73" t="n">
        <v>0</v>
      </c>
      <c r="F8" s="123" t="n"/>
      <c r="G8" s="123" t="n"/>
      <c r="H8" s="73" t="n">
        <v>0</v>
      </c>
      <c r="I8" s="44" t="n"/>
      <c r="J8" s="83">
        <f>SUM(C8:I8)</f>
        <v/>
      </c>
      <c r="K8" s="104" t="n"/>
      <c r="L8" s="44" t="n"/>
      <c r="M8" s="77" t="n"/>
      <c r="N8" s="77" t="n"/>
      <c r="O8" s="77" t="n"/>
      <c r="P8" s="35" t="n"/>
    </row>
    <row r="9">
      <c r="A9" s="125" t="n">
        <v>8813001120</v>
      </c>
      <c r="B9" s="112" t="inlineStr">
        <is>
          <t>HSA323</t>
        </is>
      </c>
      <c r="C9" s="123" t="n">
        <v>0</v>
      </c>
      <c r="D9" s="123" t="n">
        <v>0</v>
      </c>
      <c r="E9" s="123" t="n">
        <v>0</v>
      </c>
      <c r="F9" s="123" t="inlineStr">
        <is>
          <t>   </t>
        </is>
      </c>
      <c r="G9" s="123" t="n"/>
      <c r="H9" s="123" t="n">
        <v>1</v>
      </c>
      <c r="I9" s="123" t="n"/>
      <c r="J9" s="83">
        <f>SUM(C9:H9)</f>
        <v/>
      </c>
      <c r="K9" s="104" t="n">
        <v>0</v>
      </c>
      <c r="L9" s="123" t="n">
        <v>0</v>
      </c>
      <c r="N9" s="89" t="inlineStr">
        <is>
          <t>W1:18HR,W2:40HR,W3:4.5HR</t>
        </is>
      </c>
      <c r="P9" s="35" t="n"/>
    </row>
    <row r="10" ht="15.75" customHeight="1" s="130">
      <c r="A10" s="121" t="n">
        <v>8813001187</v>
      </c>
      <c r="B10" s="112" t="inlineStr">
        <is>
          <t>HSA328</t>
        </is>
      </c>
      <c r="C10" s="123" t="n">
        <v>0</v>
      </c>
      <c r="D10" s="123" t="n">
        <v>0</v>
      </c>
      <c r="E10" s="73" t="n">
        <v>0</v>
      </c>
      <c r="F10" s="123" t="n"/>
      <c r="G10" s="123" t="n"/>
      <c r="H10" s="123" t="n">
        <v>0</v>
      </c>
      <c r="I10" s="123" t="n"/>
      <c r="J10" s="83">
        <f>SUM(C10:H10)</f>
        <v/>
      </c>
      <c r="K10" s="104" t="n"/>
      <c r="L10" s="123" t="n"/>
      <c r="P10" s="35" t="n"/>
    </row>
    <row r="11">
      <c r="A11" s="121" t="n">
        <v>8813001085</v>
      </c>
      <c r="B11" s="112" t="inlineStr">
        <is>
          <t>HSA-420</t>
        </is>
      </c>
      <c r="C11" s="123" t="n">
        <v>0</v>
      </c>
      <c r="D11" s="73" t="n">
        <v>0</v>
      </c>
      <c r="E11" s="73" t="n">
        <v>0</v>
      </c>
      <c r="F11" s="123" t="n"/>
      <c r="G11" s="123" t="n"/>
      <c r="H11" s="73" t="n">
        <v>0</v>
      </c>
      <c r="I11" s="75" t="n"/>
      <c r="J11" s="84">
        <f>SUM(C11:H11)</f>
        <v/>
      </c>
      <c r="K11" s="105" t="n"/>
      <c r="L11" s="73" t="n"/>
      <c r="M11" s="77" t="n"/>
      <c r="N11" s="68" t="n"/>
      <c r="O11" s="77" t="n"/>
      <c r="P11" s="35" t="n"/>
    </row>
    <row r="12">
      <c r="A12" s="125" t="n">
        <v>8813001089</v>
      </c>
      <c r="B12" s="4" t="inlineStr">
        <is>
          <t>HSA423_NEO</t>
        </is>
      </c>
      <c r="C12" s="123" t="n">
        <v>0</v>
      </c>
      <c r="D12" s="123" t="n">
        <v>0</v>
      </c>
      <c r="E12" s="123" t="n">
        <v>0</v>
      </c>
      <c r="F12" s="123" t="n"/>
      <c r="G12" s="123" t="n"/>
      <c r="H12" s="123" t="n">
        <v>0</v>
      </c>
      <c r="I12" s="76" t="n"/>
      <c r="J12" s="69">
        <f>SUM(C12:H12)</f>
        <v/>
      </c>
      <c r="K12" s="105" t="n"/>
      <c r="L12" s="123" t="n"/>
      <c r="N12" s="68" t="n"/>
      <c r="P12" s="35" t="n"/>
    </row>
    <row r="13">
      <c r="A13" s="125" t="n">
        <v>8813001079</v>
      </c>
      <c r="B13" s="90" t="inlineStr">
        <is>
          <t>HSA423</t>
        </is>
      </c>
      <c r="C13" s="123" t="n">
        <v>1</v>
      </c>
      <c r="D13" s="73" t="n">
        <v>0</v>
      </c>
      <c r="E13" s="73" t="n">
        <v>1</v>
      </c>
      <c r="F13" s="123" t="n"/>
      <c r="G13" s="123" t="inlineStr">
        <is>
          <t> </t>
        </is>
      </c>
      <c r="H13" s="73" t="n">
        <v>1</v>
      </c>
      <c r="I13" s="44" t="n"/>
      <c r="J13" s="83">
        <f>SUM(C13:I13)</f>
        <v/>
      </c>
      <c r="K13" s="104" t="n"/>
      <c r="L13" s="44" t="n">
        <v>1</v>
      </c>
      <c r="N13" s="89" t="inlineStr">
        <is>
          <t>W1:21HR,W2:46HR,W3:5.5HR</t>
        </is>
      </c>
      <c r="O13" s="77" t="inlineStr">
        <is>
          <t>(改單-3溝X向定位溝)</t>
        </is>
      </c>
      <c r="P13" s="35" t="n"/>
    </row>
    <row r="14">
      <c r="A14" s="129" t="n">
        <v>8813001060</v>
      </c>
      <c r="B14" s="112" t="inlineStr">
        <is>
          <t>HSA428</t>
        </is>
      </c>
      <c r="C14" s="123" t="n">
        <v>0</v>
      </c>
      <c r="D14" s="123" t="n">
        <v>0</v>
      </c>
      <c r="E14" s="123" t="n">
        <v>0</v>
      </c>
      <c r="F14" s="123" t="n"/>
      <c r="G14" s="123" t="n"/>
      <c r="H14" s="123" t="n">
        <v>0</v>
      </c>
      <c r="I14" s="123" t="n"/>
      <c r="J14" s="83">
        <f>SUM(C14:H14)</f>
        <v/>
      </c>
      <c r="K14" s="104" t="n"/>
      <c r="L14" s="123" t="n"/>
      <c r="P14" s="35" t="n"/>
    </row>
    <row r="15">
      <c r="A15" s="123" t="n">
        <v>8813001121</v>
      </c>
      <c r="B15" s="4" t="inlineStr">
        <is>
          <t>HSA436</t>
        </is>
      </c>
      <c r="C15" s="123" t="n">
        <v>0</v>
      </c>
      <c r="D15" s="123" t="n">
        <v>0</v>
      </c>
      <c r="E15" s="123" t="n">
        <v>0</v>
      </c>
      <c r="F15" s="123" t="n"/>
      <c r="G15" s="123" t="n"/>
      <c r="H15" s="123" t="n">
        <v>0</v>
      </c>
      <c r="I15" s="123" t="n"/>
      <c r="J15" s="88">
        <f>SUM(C15:H15)</f>
        <v/>
      </c>
      <c r="K15" s="104" t="n"/>
      <c r="L15" s="123" t="n"/>
      <c r="O15" s="89" t="n"/>
      <c r="P15" s="35" t="n"/>
    </row>
    <row r="16">
      <c r="A16" s="123" t="n">
        <v>8813001147</v>
      </c>
      <c r="B16" s="90" t="inlineStr">
        <is>
          <t>HSA-523</t>
        </is>
      </c>
      <c r="C16" s="123" t="n">
        <v>1</v>
      </c>
      <c r="D16" s="123" t="n">
        <v>0</v>
      </c>
      <c r="E16" s="123" t="n">
        <v>0</v>
      </c>
      <c r="F16" s="123" t="n"/>
      <c r="G16" s="123" t="n"/>
      <c r="H16" s="123" t="n">
        <v>1</v>
      </c>
      <c r="I16" s="123" t="n"/>
      <c r="J16" s="83">
        <f>SUM(C16:H16)</f>
        <v/>
      </c>
      <c r="K16" s="104" t="n"/>
      <c r="L16" s="123" t="n"/>
      <c r="N16" s="89" t="inlineStr">
        <is>
          <t>12/10 庫存已扣</t>
        </is>
      </c>
      <c r="P16" s="35" t="n">
        <v>2</v>
      </c>
    </row>
    <row r="17">
      <c r="A17" s="122" t="n">
        <v>8813001061</v>
      </c>
      <c r="B17" s="112" t="inlineStr">
        <is>
          <t>HSA528</t>
        </is>
      </c>
      <c r="C17" s="123" t="n">
        <v>1</v>
      </c>
      <c r="D17" s="123" t="n">
        <v>0</v>
      </c>
      <c r="E17" s="73" t="n">
        <v>0</v>
      </c>
      <c r="F17" s="123" t="n"/>
      <c r="G17" s="123" t="n"/>
      <c r="H17" s="123" t="n">
        <v>0</v>
      </c>
      <c r="I17" s="123" t="n"/>
      <c r="J17" s="83">
        <f>SUM(C17:H17)</f>
        <v/>
      </c>
      <c r="K17" s="104" t="n"/>
      <c r="L17" s="123" t="n"/>
      <c r="O17" s="89" t="n"/>
      <c r="P17" s="35" t="n">
        <v>2</v>
      </c>
    </row>
    <row r="18">
      <c r="A18" s="123" t="n">
        <v>8813001068</v>
      </c>
      <c r="B18" s="112" t="inlineStr">
        <is>
          <t>HSA536</t>
        </is>
      </c>
      <c r="C18" s="123" t="n">
        <v>0</v>
      </c>
      <c r="D18" s="123" t="n">
        <v>0</v>
      </c>
      <c r="E18" s="35" t="n">
        <v>0</v>
      </c>
      <c r="F18" s="123" t="n"/>
      <c r="G18" s="123" t="n"/>
      <c r="H18" s="73" t="n">
        <v>0</v>
      </c>
      <c r="I18" s="73" t="n"/>
      <c r="J18" s="88">
        <f>SUM(C18:H18)</f>
        <v/>
      </c>
      <c r="K18" s="104" t="n"/>
      <c r="L18" s="73" t="n"/>
      <c r="P18" s="35" t="n"/>
    </row>
    <row r="19">
      <c r="A19" s="123" t="n">
        <v>8813001132</v>
      </c>
      <c r="B19" s="90" t="inlineStr">
        <is>
          <t>HSA-623</t>
        </is>
      </c>
      <c r="C19" s="123" t="n">
        <v>0</v>
      </c>
      <c r="D19" s="123" t="n">
        <v>0</v>
      </c>
      <c r="E19" s="123" t="n">
        <v>0</v>
      </c>
      <c r="F19" s="123" t="n"/>
      <c r="G19" s="123" t="n"/>
      <c r="H19" s="123" t="n">
        <v>0</v>
      </c>
      <c r="I19" s="123" t="n"/>
      <c r="J19" s="83">
        <f>SUM(C19:H19)</f>
        <v/>
      </c>
      <c r="K19" s="83" t="n"/>
      <c r="L19" s="123" t="n"/>
      <c r="P19" s="35" t="n"/>
    </row>
    <row r="20">
      <c r="A20" s="122" t="n">
        <v>8813001056</v>
      </c>
      <c r="B20" s="112" t="inlineStr">
        <is>
          <t>HSA-628</t>
        </is>
      </c>
      <c r="C20" s="123" t="n">
        <v>0</v>
      </c>
      <c r="D20" s="123" t="n">
        <v>0</v>
      </c>
      <c r="E20" s="73" t="n">
        <v>0</v>
      </c>
      <c r="F20" s="123" t="n"/>
      <c r="G20" s="123" t="n"/>
      <c r="H20" s="123" t="n">
        <v>0</v>
      </c>
      <c r="I20" s="123" t="n"/>
      <c r="J20" s="88">
        <f>SUM(C20:H20)</f>
        <v/>
      </c>
      <c r="K20" s="88" t="n"/>
      <c r="L20" s="123" t="n"/>
      <c r="P20" s="35" t="n"/>
    </row>
    <row r="21">
      <c r="A21" s="123" t="n">
        <v>8813001086</v>
      </c>
      <c r="B21" s="112" t="inlineStr">
        <is>
          <t>HSA-636</t>
        </is>
      </c>
      <c r="C21" s="123" t="n">
        <v>0</v>
      </c>
      <c r="D21" s="123" t="n">
        <v>0</v>
      </c>
      <c r="E21" s="123" t="n">
        <v>0</v>
      </c>
      <c r="F21" s="123" t="n"/>
      <c r="G21" s="123" t="n"/>
      <c r="H21" s="123" t="n">
        <v>0</v>
      </c>
      <c r="I21" s="123" t="n"/>
      <c r="J21" s="88">
        <f>SUM(C21:H21)</f>
        <v/>
      </c>
      <c r="K21" s="88" t="n"/>
      <c r="L21" s="99" t="n">
        <v>0</v>
      </c>
      <c r="P21" s="35" t="n"/>
    </row>
    <row r="22">
      <c r="A22" s="122" t="n">
        <v>8813001171</v>
      </c>
      <c r="B22" s="90" t="inlineStr">
        <is>
          <t>HSA-728</t>
        </is>
      </c>
      <c r="C22" s="123" t="n">
        <v>0</v>
      </c>
      <c r="D22" s="123" t="n">
        <v>0</v>
      </c>
      <c r="E22" s="123" t="n">
        <v>0</v>
      </c>
      <c r="F22" s="123" t="n"/>
      <c r="G22" s="123" t="n"/>
      <c r="H22" s="123" t="n">
        <v>0</v>
      </c>
      <c r="I22" s="123" t="n"/>
      <c r="J22" s="88">
        <f>SUM(C22:H22)</f>
        <v/>
      </c>
      <c r="K22" s="88" t="n"/>
      <c r="L22" s="123" t="n"/>
      <c r="P22" s="35" t="n"/>
    </row>
    <row r="23">
      <c r="A23" s="122" t="n">
        <v>8813001152</v>
      </c>
      <c r="B23" s="90" t="inlineStr">
        <is>
          <t>HSA-736</t>
        </is>
      </c>
      <c r="C23" s="123" t="n">
        <v>0</v>
      </c>
      <c r="D23" s="123" t="n">
        <v>0</v>
      </c>
      <c r="E23" s="123" t="n">
        <v>0</v>
      </c>
      <c r="F23" s="123" t="n"/>
      <c r="G23" s="123" t="n"/>
      <c r="H23" s="123" t="n">
        <v>0</v>
      </c>
      <c r="I23" s="123" t="n"/>
      <c r="J23" s="88">
        <f>SUM(C23:H23)</f>
        <v/>
      </c>
      <c r="K23" s="88" t="n"/>
      <c r="L23" s="123" t="n"/>
      <c r="P23" s="35" t="n"/>
    </row>
    <row r="24">
      <c r="A24" s="121" t="n">
        <v>8813001252</v>
      </c>
      <c r="B24" s="112" t="inlineStr">
        <is>
          <t>SW-216</t>
        </is>
      </c>
      <c r="C24" s="123" t="n">
        <v>0</v>
      </c>
      <c r="D24" s="123" t="n">
        <v>0</v>
      </c>
      <c r="E24" s="73" t="n">
        <v>0</v>
      </c>
      <c r="F24" s="123" t="n"/>
      <c r="G24" s="123" t="n">
        <v>0</v>
      </c>
      <c r="H24" s="123" t="n">
        <v>2</v>
      </c>
      <c r="I24" s="123" t="n"/>
      <c r="J24" s="83">
        <f>SUM(C24:H24)</f>
        <v/>
      </c>
      <c r="K24" s="83" t="n"/>
      <c r="L24" s="123" t="n"/>
      <c r="P24" s="35" t="n"/>
    </row>
    <row r="25">
      <c r="A25" s="121" t="n">
        <v>8813001178</v>
      </c>
      <c r="B25" s="112" t="inlineStr">
        <is>
          <t>SW-2616</t>
        </is>
      </c>
      <c r="C25" s="123" t="n">
        <v>0</v>
      </c>
      <c r="D25" s="73" t="n">
        <v>0</v>
      </c>
      <c r="E25" s="123" t="n">
        <v>0</v>
      </c>
      <c r="F25" s="123" t="n"/>
      <c r="G25" s="123" t="n">
        <v>0</v>
      </c>
      <c r="H25" s="123" t="n">
        <v>0</v>
      </c>
      <c r="I25" s="123" t="n"/>
      <c r="J25" s="88">
        <f>SUM(C25:H25)</f>
        <v/>
      </c>
      <c r="K25" s="88" t="n"/>
      <c r="L25" s="123" t="n"/>
      <c r="O25" s="38" t="inlineStr">
        <is>
          <t>此2+1台為舊鑄件(螺姆孔大小設變)</t>
        </is>
      </c>
      <c r="P25" s="35" t="n">
        <v>1</v>
      </c>
    </row>
    <row r="26">
      <c r="A26" s="125" t="n">
        <v>8813001246</v>
      </c>
      <c r="B26" s="112" t="inlineStr">
        <is>
          <t>SW-220</t>
        </is>
      </c>
      <c r="C26" s="123" t="n">
        <v>0</v>
      </c>
      <c r="D26" s="123" t="n">
        <v>0</v>
      </c>
      <c r="E26" s="123" t="n">
        <v>0</v>
      </c>
      <c r="F26" s="123" t="n"/>
      <c r="G26" s="123" t="n">
        <v>0</v>
      </c>
      <c r="H26" s="123" t="n">
        <v>0</v>
      </c>
      <c r="I26" s="123" t="n"/>
      <c r="J26" s="88">
        <f>SUM(C26:H26)</f>
        <v/>
      </c>
      <c r="K26" s="88" t="n"/>
      <c r="L26" s="123" t="n"/>
      <c r="P26" s="35" t="n"/>
    </row>
    <row r="27">
      <c r="A27" s="121" t="n">
        <v>8813001254</v>
      </c>
      <c r="B27" s="112" t="inlineStr">
        <is>
          <t>SW-316</t>
        </is>
      </c>
      <c r="C27" s="123" t="n">
        <v>2</v>
      </c>
      <c r="D27" s="123" t="n">
        <v>0</v>
      </c>
      <c r="E27" s="123" t="n">
        <v>0</v>
      </c>
      <c r="F27" s="89" t="n"/>
      <c r="G27" s="123" t="n">
        <v>0</v>
      </c>
      <c r="H27" s="123" t="n">
        <v>0</v>
      </c>
      <c r="I27" s="123" t="n"/>
      <c r="J27" s="83">
        <f>SUM(C27:H27)</f>
        <v/>
      </c>
      <c r="K27" s="83" t="n"/>
      <c r="L27" s="44" t="n">
        <v>0</v>
      </c>
      <c r="N27" s="89" t="inlineStr">
        <is>
          <t>W1:17HR,W2:22HR,W4:5.5HR,W5:9.5HR</t>
        </is>
      </c>
      <c r="P27" s="35" t="inlineStr">
        <is>
          <t>-</t>
        </is>
      </c>
    </row>
    <row r="28">
      <c r="A28" s="121" t="n">
        <v>8813001247</v>
      </c>
      <c r="B28" s="112" t="inlineStr">
        <is>
          <t>SW-320</t>
        </is>
      </c>
      <c r="C28" s="123" t="n">
        <v>0</v>
      </c>
      <c r="D28" s="73" t="n">
        <v>0</v>
      </c>
      <c r="E28" s="73" t="n">
        <v>0</v>
      </c>
      <c r="F28" s="123" t="n"/>
      <c r="G28" s="123" t="n">
        <v>0</v>
      </c>
      <c r="H28" s="73" t="n">
        <v>3</v>
      </c>
      <c r="I28" s="73" t="n"/>
      <c r="J28" s="83">
        <f>SUM(C28:H28)</f>
        <v/>
      </c>
      <c r="K28" s="83" t="n"/>
      <c r="L28" s="44" t="n">
        <v>0</v>
      </c>
      <c r="P28" s="35" t="n">
        <v>2</v>
      </c>
    </row>
    <row r="29">
      <c r="A29" s="121" t="n">
        <v>8813001244</v>
      </c>
      <c r="B29" s="112" t="inlineStr">
        <is>
          <t>SW323</t>
        </is>
      </c>
      <c r="C29" s="123" t="n">
        <v>0</v>
      </c>
      <c r="D29" s="73" t="n">
        <v>0</v>
      </c>
      <c r="E29" s="73" t="n">
        <v>0</v>
      </c>
      <c r="F29" s="123" t="n"/>
      <c r="G29" s="123" t="n">
        <v>0</v>
      </c>
      <c r="H29" s="123" t="n">
        <v>1</v>
      </c>
      <c r="I29" s="123" t="n"/>
      <c r="J29" s="83">
        <f>SUM(C29:H29)</f>
        <v/>
      </c>
      <c r="K29" s="83" t="n"/>
      <c r="L29" s="123" t="n"/>
      <c r="N29" s="89" t="inlineStr">
        <is>
          <t>H08000573*1做完知會蔡高專。</t>
        </is>
      </c>
      <c r="P29" s="35" t="n"/>
    </row>
    <row r="30">
      <c r="A30" s="121" t="n">
        <v>8813001256</v>
      </c>
      <c r="B30" s="112" t="inlineStr">
        <is>
          <t>SW326</t>
        </is>
      </c>
      <c r="C30" s="123" t="n">
        <v>0</v>
      </c>
      <c r="D30" s="123" t="n">
        <v>0</v>
      </c>
      <c r="E30" s="73" t="n">
        <v>0</v>
      </c>
      <c r="F30" s="123" t="n"/>
      <c r="G30" s="123" t="n">
        <v>0</v>
      </c>
      <c r="H30" s="123" t="n">
        <v>0</v>
      </c>
      <c r="I30" s="123" t="n"/>
      <c r="J30" s="88">
        <f>SUM(C30:H30)</f>
        <v/>
      </c>
      <c r="K30" s="88" t="n"/>
      <c r="L30" s="123" t="n"/>
      <c r="P30" s="35" t="n"/>
    </row>
    <row r="31">
      <c r="A31" s="121" t="n">
        <v>8813001255</v>
      </c>
      <c r="B31" s="23" t="inlineStr">
        <is>
          <t>SW-416</t>
        </is>
      </c>
      <c r="C31" s="73" t="n">
        <v>0</v>
      </c>
      <c r="D31" s="123" t="n">
        <v>0</v>
      </c>
      <c r="E31" s="123" t="n">
        <v>0</v>
      </c>
      <c r="F31" s="123" t="n"/>
      <c r="G31" s="123" t="n">
        <v>0</v>
      </c>
      <c r="H31" s="123" t="n">
        <v>2</v>
      </c>
      <c r="I31" s="123" t="n"/>
      <c r="J31" s="83">
        <f>SUM(C31:H31)</f>
        <v/>
      </c>
      <c r="K31" s="83" t="n"/>
      <c r="L31" s="123" t="n"/>
      <c r="P31" s="35" t="n"/>
    </row>
    <row r="32">
      <c r="A32" s="121" t="n">
        <v>8813001248</v>
      </c>
      <c r="B32" s="112" t="inlineStr">
        <is>
          <t>SW420</t>
        </is>
      </c>
      <c r="C32" s="123" t="n">
        <v>0</v>
      </c>
      <c r="D32" s="123" t="n">
        <v>0</v>
      </c>
      <c r="E32" s="73" t="n">
        <v>0</v>
      </c>
      <c r="F32" s="123" t="n"/>
      <c r="G32" s="123" t="n">
        <v>0</v>
      </c>
      <c r="H32" s="123" t="n">
        <v>0</v>
      </c>
      <c r="I32" s="123" t="n"/>
      <c r="J32" s="88">
        <f>SUM(C32:H32)</f>
        <v/>
      </c>
      <c r="K32" s="88" t="n"/>
      <c r="L32" s="123" t="n"/>
      <c r="P32" s="35" t="n"/>
    </row>
    <row r="33">
      <c r="A33" s="121" t="n">
        <v>8813001261</v>
      </c>
      <c r="B33" s="112" t="inlineStr">
        <is>
          <t>SW423</t>
        </is>
      </c>
      <c r="C33" s="123" t="n">
        <v>2</v>
      </c>
      <c r="D33" s="123" t="n">
        <v>0</v>
      </c>
      <c r="E33" s="73" t="n">
        <v>0</v>
      </c>
      <c r="F33" s="123" t="n"/>
      <c r="G33" s="123" t="n">
        <v>0</v>
      </c>
      <c r="H33" s="123" t="n">
        <v>1</v>
      </c>
      <c r="I33" s="123" t="n"/>
      <c r="J33" s="83">
        <f>SUM(C33:H33)</f>
        <v/>
      </c>
      <c r="K33" s="83" t="n"/>
      <c r="L33" s="123" t="n"/>
      <c r="N33" s="89" t="inlineStr">
        <is>
          <t>W1:21HR,W2:43HR,W4:5.5HR,W5:10HR</t>
        </is>
      </c>
      <c r="P33" s="35" t="n">
        <v>1</v>
      </c>
    </row>
    <row r="34">
      <c r="A34" s="121" t="n">
        <v>8813001353</v>
      </c>
      <c r="B34" s="112" t="inlineStr">
        <is>
          <t>SW-426</t>
        </is>
      </c>
      <c r="C34" s="73" t="n">
        <v>0</v>
      </c>
      <c r="D34" s="123" t="n">
        <v>0</v>
      </c>
      <c r="E34" s="73" t="n">
        <v>0</v>
      </c>
      <c r="F34" s="123" t="n"/>
      <c r="G34" s="123" t="n">
        <v>0</v>
      </c>
      <c r="H34" s="123" t="n">
        <v>0</v>
      </c>
      <c r="I34" s="123" t="n"/>
      <c r="J34" s="88">
        <f>SUM(C34:H34)</f>
        <v/>
      </c>
      <c r="K34" s="88" t="n"/>
      <c r="L34" s="123" t="n"/>
      <c r="P34" s="35" t="n"/>
    </row>
    <row r="35">
      <c r="A35" s="121" t="n">
        <v>8813001262</v>
      </c>
      <c r="B35" s="112" t="inlineStr">
        <is>
          <t>SW-523</t>
        </is>
      </c>
      <c r="C35" s="123" t="n">
        <v>0</v>
      </c>
      <c r="D35" s="123" t="n">
        <v>0</v>
      </c>
      <c r="E35" s="73" t="n">
        <v>0</v>
      </c>
      <c r="F35" s="123" t="n"/>
      <c r="G35" s="123" t="n">
        <v>0</v>
      </c>
      <c r="H35" s="123" t="n">
        <v>0</v>
      </c>
      <c r="I35" s="123" t="n"/>
      <c r="J35" s="88">
        <f>SUM(C35:H35)</f>
        <v/>
      </c>
      <c r="K35" s="88" t="n"/>
      <c r="L35" s="123" t="n"/>
      <c r="P35" s="35" t="n"/>
    </row>
    <row r="36">
      <c r="A36" s="121" t="n">
        <v>8813001115</v>
      </c>
      <c r="B36" s="112" t="inlineStr">
        <is>
          <t>SW-623</t>
        </is>
      </c>
      <c r="C36" s="123" t="n">
        <v>0</v>
      </c>
      <c r="D36" s="123" t="n">
        <v>0</v>
      </c>
      <c r="E36" s="73" t="n">
        <v>0</v>
      </c>
      <c r="F36" s="123" t="n"/>
      <c r="G36" s="123" t="n">
        <v>0</v>
      </c>
      <c r="H36" s="123" t="n">
        <v>0</v>
      </c>
      <c r="I36" s="123" t="n"/>
      <c r="J36" s="88">
        <f>SUM(C36:H36)</f>
        <v/>
      </c>
      <c r="K36" s="88" t="n"/>
      <c r="L36" s="123" t="n">
        <v>0</v>
      </c>
      <c r="N36" s="89" t="inlineStr">
        <is>
          <t>W1:25HR,W2:60HR,W4:7.5HR,W5:12HR</t>
        </is>
      </c>
      <c r="P36" s="35" t="n"/>
    </row>
    <row r="37">
      <c r="A37" s="121" t="n">
        <v>8813001078</v>
      </c>
      <c r="B37" s="112" t="inlineStr">
        <is>
          <t>SW-526</t>
        </is>
      </c>
      <c r="C37" s="123" t="n">
        <v>0</v>
      </c>
      <c r="D37" s="123" t="n">
        <v>0</v>
      </c>
      <c r="E37" s="73" t="n">
        <v>0</v>
      </c>
      <c r="F37" s="123" t="n"/>
      <c r="G37" s="123" t="n">
        <v>0</v>
      </c>
      <c r="H37" s="123" t="n">
        <v>0</v>
      </c>
      <c r="I37" s="123" t="n"/>
      <c r="J37" s="83">
        <f>SUM(C37:H37)</f>
        <v/>
      </c>
      <c r="K37" s="83" t="n"/>
      <c r="L37" s="123" t="n"/>
      <c r="N37" s="89" t="inlineStr">
        <is>
          <t>1台傑浩</t>
        </is>
      </c>
      <c r="P37" s="35" t="n"/>
    </row>
    <row r="38">
      <c r="A38" s="121" t="n">
        <v>8813001124</v>
      </c>
      <c r="B38" s="90" t="inlineStr">
        <is>
          <t>HSA-2212</t>
        </is>
      </c>
      <c r="C38" s="123" t="n">
        <v>2</v>
      </c>
      <c r="D38" s="123" t="n">
        <v>0</v>
      </c>
      <c r="E38" s="123" t="n">
        <v>0</v>
      </c>
      <c r="F38" s="123" t="n"/>
      <c r="G38" s="123" t="n"/>
      <c r="H38" s="73" t="n">
        <v>0</v>
      </c>
      <c r="I38" s="73" t="n"/>
      <c r="J38" s="83">
        <f>SUM(C38:H38)</f>
        <v/>
      </c>
      <c r="K38" s="83" t="n"/>
      <c r="L38" s="73" t="n"/>
      <c r="N38" s="89" t="inlineStr">
        <is>
          <t>HA21040801---已出交換---入帳-(11/12出貨)</t>
        </is>
      </c>
      <c r="P38" s="35" t="n"/>
    </row>
    <row r="39">
      <c r="A39" s="121" t="n">
        <v>8813001125</v>
      </c>
      <c r="B39" s="90" t="inlineStr">
        <is>
          <t>HSA-3212</t>
        </is>
      </c>
      <c r="C39" s="123" t="n">
        <v>0</v>
      </c>
      <c r="D39" s="123" t="n">
        <v>0</v>
      </c>
      <c r="E39" s="123" t="n">
        <v>0</v>
      </c>
      <c r="F39" s="123" t="n"/>
      <c r="G39" s="123" t="n"/>
      <c r="H39" s="123" t="n">
        <v>0</v>
      </c>
      <c r="I39" s="90" t="n"/>
      <c r="J39" s="123">
        <f>SUM(C39:H39)</f>
        <v/>
      </c>
      <c r="K39" s="123" t="n"/>
      <c r="L39" s="90" t="n"/>
      <c r="P39" s="35" t="n"/>
    </row>
    <row r="40">
      <c r="P40" s="35" t="n"/>
    </row>
    <row r="41">
      <c r="N41" s="72" t="n"/>
      <c r="P41" s="35" t="n"/>
    </row>
    <row r="42">
      <c r="P42" s="35" t="n"/>
    </row>
    <row r="43">
      <c r="P43" s="35" t="n"/>
    </row>
    <row r="44">
      <c r="P44" s="35" t="n"/>
    </row>
    <row r="45">
      <c r="P45" s="35" t="n"/>
    </row>
    <row r="46">
      <c r="C46" s="121" t="n"/>
      <c r="P46" s="35" t="n"/>
    </row>
    <row r="47">
      <c r="P47" s="35" t="n"/>
    </row>
    <row r="48">
      <c r="P48" s="35" t="n"/>
    </row>
    <row r="49">
      <c r="P49" s="35" t="n"/>
    </row>
    <row r="50">
      <c r="P50" s="35" t="n"/>
    </row>
    <row r="51">
      <c r="P51" s="35" t="n"/>
    </row>
    <row r="52">
      <c r="P52" s="35" t="n"/>
    </row>
    <row r="53">
      <c r="P53" s="35" t="n"/>
    </row>
    <row r="54">
      <c r="P54" s="35" t="n"/>
    </row>
    <row r="55">
      <c r="P55" s="35" t="n"/>
    </row>
    <row r="56">
      <c r="P56" s="35" t="n"/>
    </row>
    <row r="57">
      <c r="P57" s="35" t="n"/>
    </row>
    <row r="58">
      <c r="P58" s="35" t="n"/>
    </row>
    <row r="59">
      <c r="P59" s="35" t="n"/>
    </row>
    <row r="60">
      <c r="P60" s="35" t="n"/>
    </row>
    <row r="61">
      <c r="P61" s="35" t="n"/>
    </row>
    <row r="62">
      <c r="P62" s="35" t="n"/>
    </row>
    <row r="63">
      <c r="P63" s="35" t="n"/>
    </row>
    <row r="64">
      <c r="P64" s="35" t="n"/>
    </row>
    <row r="65">
      <c r="P65" s="35" t="n"/>
    </row>
    <row r="66">
      <c r="P66" s="35" t="n"/>
    </row>
    <row r="67">
      <c r="P67" s="35" t="n"/>
    </row>
    <row r="68">
      <c r="P68" s="35" t="n"/>
    </row>
    <row r="69">
      <c r="P69" s="35" t="n"/>
    </row>
    <row r="70">
      <c r="P70" s="35" t="n"/>
    </row>
    <row r="71">
      <c r="P71" s="35" t="n"/>
    </row>
    <row r="72">
      <c r="P72" s="35" t="n"/>
    </row>
    <row r="73">
      <c r="P73" s="35" t="n"/>
    </row>
    <row r="74">
      <c r="P74" s="35" t="n"/>
    </row>
    <row r="75">
      <c r="P75" s="35" t="n"/>
    </row>
    <row r="76">
      <c r="P76" s="35" t="n"/>
    </row>
    <row r="77">
      <c r="P77" s="35" t="n"/>
    </row>
    <row r="78">
      <c r="P78" s="35" t="n"/>
    </row>
    <row r="79">
      <c r="P79" s="35" t="n"/>
    </row>
    <row r="80">
      <c r="P80" s="35" t="n"/>
    </row>
    <row r="81">
      <c r="P81" s="35" t="n"/>
    </row>
    <row r="82">
      <c r="P82" s="35" t="n"/>
    </row>
    <row r="83">
      <c r="P83" s="35" t="n"/>
    </row>
    <row r="84">
      <c r="P84" s="35" t="n"/>
    </row>
    <row r="85">
      <c r="P85" s="35" t="n"/>
    </row>
    <row r="86">
      <c r="P86" s="35" t="n"/>
    </row>
    <row r="87">
      <c r="P87" s="35" t="n"/>
    </row>
    <row r="88">
      <c r="P88" s="35" t="n"/>
    </row>
    <row r="89">
      <c r="P89" s="35" t="n"/>
    </row>
    <row r="90">
      <c r="P90" s="35" t="n"/>
    </row>
    <row r="91">
      <c r="P91" s="35" t="n"/>
    </row>
    <row r="92">
      <c r="P92" s="35" t="n"/>
    </row>
    <row r="93">
      <c r="P93" s="35" t="n"/>
    </row>
    <row r="94">
      <c r="P94" s="35" t="n"/>
    </row>
    <row r="95">
      <c r="P95" s="35" t="n"/>
    </row>
    <row r="96">
      <c r="P96" s="35" t="n"/>
    </row>
    <row r="97">
      <c r="P97" s="35" t="n"/>
    </row>
    <row r="98">
      <c r="P98" s="35" t="n"/>
    </row>
    <row r="99">
      <c r="P99" s="35" t="n"/>
    </row>
    <row r="100">
      <c r="P100" s="35" t="n"/>
    </row>
    <row r="101">
      <c r="P101" s="35" t="n"/>
    </row>
    <row r="102">
      <c r="P102" s="35" t="n"/>
    </row>
    <row r="103">
      <c r="P103" s="35" t="n"/>
    </row>
    <row r="104">
      <c r="P104" s="35" t="n"/>
    </row>
    <row r="105">
      <c r="P105" s="35" t="n"/>
    </row>
    <row r="106">
      <c r="P106" s="35" t="n"/>
    </row>
    <row r="107">
      <c r="P107" s="35" t="n"/>
    </row>
    <row r="108">
      <c r="P108" s="35" t="n"/>
    </row>
    <row r="109">
      <c r="P109" s="35" t="n"/>
    </row>
    <row r="110">
      <c r="P110" s="35" t="n"/>
    </row>
    <row r="111">
      <c r="P111" s="35" t="n"/>
    </row>
    <row r="112">
      <c r="P112" s="35" t="n"/>
    </row>
    <row r="113">
      <c r="P113" s="35" t="n"/>
    </row>
    <row r="114">
      <c r="P114" s="35" t="n"/>
    </row>
    <row r="115">
      <c r="P115" s="35" t="n"/>
    </row>
    <row r="116">
      <c r="P116" s="35" t="n"/>
    </row>
    <row r="117">
      <c r="P117" s="35" t="n"/>
    </row>
    <row r="118">
      <c r="P118" s="35" t="n"/>
    </row>
    <row r="119">
      <c r="P119" s="35" t="n"/>
    </row>
    <row r="120">
      <c r="P120" s="35" t="n"/>
    </row>
    <row r="121">
      <c r="P121" s="35" t="n"/>
    </row>
    <row r="122">
      <c r="P122" s="35" t="n"/>
    </row>
    <row r="123">
      <c r="P123" s="35" t="n"/>
    </row>
    <row r="124">
      <c r="P124" s="35" t="n"/>
    </row>
    <row r="125">
      <c r="P125" s="35" t="n"/>
    </row>
    <row r="126">
      <c r="P126" s="35" t="n"/>
    </row>
    <row r="127">
      <c r="P127" s="35" t="n"/>
    </row>
    <row r="128">
      <c r="P128" s="35" t="n"/>
    </row>
    <row r="129">
      <c r="P129" s="35" t="n"/>
    </row>
    <row r="130">
      <c r="P130" s="35" t="n"/>
    </row>
    <row r="131">
      <c r="P131" s="35" t="n"/>
    </row>
    <row r="132">
      <c r="P132" s="35" t="n"/>
    </row>
    <row r="133">
      <c r="P133" s="35" t="n"/>
    </row>
    <row r="134">
      <c r="P134" s="35" t="n"/>
    </row>
    <row r="135">
      <c r="P135" s="35" t="n"/>
    </row>
    <row r="136">
      <c r="P136" s="35" t="n"/>
    </row>
    <row r="137">
      <c r="P137" s="35" t="n"/>
    </row>
    <row r="138">
      <c r="P138" s="35" t="n"/>
    </row>
    <row r="139">
      <c r="P139" s="35" t="n"/>
    </row>
    <row r="140">
      <c r="P140" s="35" t="n"/>
    </row>
    <row r="141">
      <c r="P141" s="35" t="n"/>
    </row>
    <row r="142">
      <c r="P142" s="35" t="n"/>
    </row>
    <row r="143">
      <c r="P143" s="35" t="n"/>
    </row>
    <row r="144">
      <c r="P144" s="35" t="n"/>
    </row>
    <row r="145">
      <c r="P145" s="35" t="n"/>
    </row>
    <row r="146">
      <c r="P146" s="35" t="n"/>
    </row>
    <row r="147">
      <c r="P147" s="35" t="n"/>
    </row>
    <row r="148">
      <c r="P148" s="35" t="n"/>
    </row>
    <row r="149">
      <c r="P149" s="35" t="n"/>
    </row>
    <row r="150">
      <c r="P150" s="35" t="n"/>
    </row>
    <row r="151">
      <c r="P151" s="35" t="n"/>
    </row>
    <row r="152">
      <c r="P152" s="35" t="n"/>
    </row>
    <row r="153">
      <c r="P153" s="35" t="n"/>
    </row>
    <row r="154">
      <c r="P154" s="35" t="n"/>
    </row>
    <row r="155">
      <c r="P155" s="35" t="n"/>
    </row>
    <row r="156">
      <c r="P156" s="35" t="n"/>
    </row>
    <row r="157">
      <c r="P157" s="35" t="n"/>
    </row>
    <row r="158">
      <c r="P158" s="35" t="n"/>
    </row>
    <row r="159">
      <c r="P159" s="35" t="n"/>
    </row>
    <row r="160">
      <c r="P160" s="35" t="n"/>
    </row>
    <row r="161">
      <c r="P161" s="35" t="n"/>
    </row>
    <row r="162">
      <c r="P162" s="35" t="n"/>
    </row>
    <row r="163">
      <c r="P163" s="35" t="n"/>
    </row>
    <row r="164">
      <c r="P164" s="35" t="n"/>
    </row>
    <row r="165">
      <c r="P165" s="35" t="n"/>
    </row>
    <row r="166">
      <c r="P166" s="35" t="n"/>
    </row>
    <row r="167">
      <c r="P167" s="35" t="n"/>
    </row>
    <row r="168">
      <c r="P168" s="35" t="n"/>
    </row>
    <row r="169">
      <c r="P169" s="35" t="n"/>
    </row>
    <row r="170">
      <c r="P170" s="35" t="n"/>
    </row>
    <row r="171">
      <c r="P171" s="35" t="n"/>
    </row>
    <row r="172">
      <c r="P172" s="35" t="n"/>
    </row>
    <row r="173">
      <c r="P173" s="35" t="n"/>
    </row>
    <row r="174">
      <c r="P174" s="35" t="n"/>
    </row>
    <row r="175">
      <c r="P175" s="35" t="n"/>
    </row>
    <row r="176">
      <c r="P176" s="35" t="n"/>
    </row>
    <row r="177">
      <c r="P177" s="35" t="n"/>
    </row>
    <row r="178">
      <c r="P178" s="35" t="n"/>
    </row>
    <row r="179">
      <c r="P179" s="35" t="n"/>
    </row>
    <row r="180">
      <c r="P180" s="35" t="n"/>
    </row>
    <row r="181">
      <c r="P181" s="35" t="n"/>
    </row>
    <row r="182">
      <c r="P182" s="35" t="n"/>
    </row>
    <row r="183">
      <c r="P183" s="35" t="n"/>
    </row>
    <row r="184">
      <c r="P184" s="35" t="n"/>
    </row>
    <row r="185">
      <c r="P185" s="35" t="n"/>
    </row>
    <row r="186">
      <c r="P186" s="35" t="n"/>
    </row>
    <row r="187">
      <c r="P187" s="35" t="n"/>
    </row>
    <row r="188">
      <c r="P188" s="35" t="n"/>
    </row>
    <row r="189">
      <c r="P189" s="35" t="n"/>
    </row>
    <row r="190">
      <c r="P190" s="35" t="n"/>
    </row>
    <row r="191">
      <c r="P191" s="35" t="n"/>
    </row>
    <row r="192">
      <c r="P192" s="35" t="n"/>
    </row>
    <row r="193">
      <c r="P193" s="35" t="n"/>
    </row>
    <row r="194">
      <c r="P194" s="35" t="n"/>
    </row>
    <row r="195">
      <c r="P195" s="35" t="n"/>
    </row>
    <row r="196">
      <c r="P196" s="35" t="n"/>
    </row>
    <row r="197">
      <c r="P197" s="35" t="n"/>
    </row>
    <row r="198">
      <c r="P198" s="35" t="n"/>
    </row>
    <row r="199">
      <c r="P199" s="35" t="n"/>
    </row>
    <row r="200">
      <c r="P200" s="35" t="n"/>
    </row>
    <row r="201">
      <c r="P201" s="35" t="n"/>
    </row>
    <row r="202">
      <c r="P202" s="35" t="n"/>
    </row>
    <row r="203">
      <c r="P203" s="35" t="n"/>
    </row>
    <row r="204">
      <c r="P204" s="35" t="n"/>
    </row>
    <row r="205">
      <c r="P205" s="35" t="n"/>
    </row>
    <row r="206">
      <c r="P206" s="35" t="n"/>
    </row>
    <row r="207">
      <c r="P207" s="35" t="n"/>
    </row>
    <row r="208">
      <c r="P208" s="35" t="n"/>
    </row>
    <row r="209">
      <c r="P209" s="35" t="n"/>
    </row>
    <row r="210">
      <c r="P210" s="35" t="n"/>
    </row>
    <row r="211">
      <c r="P211" s="35" t="n"/>
    </row>
  </sheetData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indexed="61"/>
    <outlinePr summaryBelow="1" summaryRight="1"/>
    <pageSetUpPr/>
  </sheetPr>
  <dimension ref="A1:P26"/>
  <sheetViews>
    <sheetView showRuler="0" zoomScale="160" zoomScaleNormal="16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2"/>
    </sheetView>
  </sheetViews>
  <sheetFormatPr baseColWidth="8" defaultRowHeight="16.5"/>
  <cols>
    <col width="24.625" customWidth="1" style="130" min="1" max="1"/>
    <col width="22.25" customWidth="1" style="130" min="2" max="2"/>
    <col width="11.75" customWidth="1" style="130" min="6" max="6"/>
    <col width="12.125" customWidth="1" style="130" min="7" max="8"/>
    <col width="13.25" customWidth="1" style="130" min="10" max="10"/>
    <col width="18" customWidth="1" style="89" min="11" max="11"/>
    <col width="18" customWidth="1" style="130" min="12" max="12"/>
    <col width="23.25" customWidth="1" style="130" min="14" max="14"/>
    <col width="18.875" customWidth="1" style="130" min="15" max="15"/>
    <col width="33.25" customWidth="1" style="130" min="16" max="16"/>
  </cols>
  <sheetData>
    <row r="1">
      <c r="A1" s="90" t="inlineStr">
        <is>
          <t>品號</t>
        </is>
      </c>
      <c r="B1" s="90" t="inlineStr">
        <is>
          <t>機型</t>
        </is>
      </c>
      <c r="C1" s="90" t="inlineStr">
        <is>
          <t>素材</t>
        </is>
      </c>
      <c r="D1" s="90" t="inlineStr">
        <is>
          <t>製程7</t>
        </is>
      </c>
      <c r="E1" s="90" t="inlineStr">
        <is>
          <t>製程6</t>
        </is>
      </c>
      <c r="F1" s="90" t="inlineStr">
        <is>
          <t>製程5(成品)</t>
        </is>
      </c>
      <c r="G1" s="90" t="inlineStr">
        <is>
          <t>研磨成品</t>
        </is>
      </c>
      <c r="H1" s="123" t="inlineStr">
        <is>
          <t>報廢品</t>
        </is>
      </c>
      <c r="I1" s="90" t="inlineStr">
        <is>
          <t>總數</t>
        </is>
      </c>
      <c r="J1" s="123" t="inlineStr">
        <is>
          <t>預扣件</t>
        </is>
      </c>
      <c r="K1" s="123" t="inlineStr">
        <is>
          <t>報廢品</t>
        </is>
      </c>
      <c r="M1" s="35" t="inlineStr">
        <is>
          <t>研-09-09</t>
        </is>
      </c>
      <c r="P1" s="35" t="inlineStr">
        <is>
          <t>已開單</t>
        </is>
      </c>
    </row>
    <row r="2">
      <c r="A2" s="123" t="n">
        <v>8817000571</v>
      </c>
      <c r="B2" s="112" t="inlineStr">
        <is>
          <t>AHC-X31</t>
        </is>
      </c>
      <c r="C2" s="123" t="n">
        <v>0</v>
      </c>
      <c r="D2" s="123" t="n"/>
      <c r="E2" s="123" t="n">
        <v>0</v>
      </c>
      <c r="F2" s="123" t="n">
        <v>0</v>
      </c>
      <c r="G2" s="123" t="n">
        <v>0</v>
      </c>
      <c r="H2" s="123" t="n"/>
      <c r="I2" s="123">
        <f>SUM(C2:H2)</f>
        <v/>
      </c>
      <c r="J2" s="100" t="n"/>
      <c r="K2" s="35" t="n"/>
      <c r="L2" s="35" t="inlineStr">
        <is>
          <t>5270L</t>
        </is>
      </c>
      <c r="M2" s="35" t="n"/>
      <c r="N2" s="112" t="inlineStr">
        <is>
          <t>AHC-X31</t>
        </is>
      </c>
      <c r="P2" s="35" t="n"/>
    </row>
    <row r="3">
      <c r="A3" s="123" t="n">
        <v>8817000566</v>
      </c>
      <c r="B3" s="112" t="inlineStr">
        <is>
          <t>AHC-X36</t>
        </is>
      </c>
      <c r="C3" s="123" t="n">
        <v>0</v>
      </c>
      <c r="D3" s="123" t="n"/>
      <c r="E3" s="123" t="n">
        <v>3</v>
      </c>
      <c r="F3" s="123" t="n">
        <v>0</v>
      </c>
      <c r="G3" s="123" t="n">
        <v>1</v>
      </c>
      <c r="H3" s="123" t="n"/>
      <c r="I3" s="124">
        <f>SUM(C3:G3)</f>
        <v/>
      </c>
      <c r="J3" s="101" t="n"/>
      <c r="K3" s="35" t="n"/>
      <c r="L3" s="35" t="inlineStr">
        <is>
          <t>5770L</t>
        </is>
      </c>
      <c r="M3" s="35" t="n">
        <v>1</v>
      </c>
      <c r="N3" s="112" t="inlineStr">
        <is>
          <t>AHC-X36</t>
        </is>
      </c>
      <c r="P3" s="35" t="n"/>
    </row>
    <row r="4">
      <c r="A4" s="123" t="n">
        <v>8817000581</v>
      </c>
      <c r="B4" s="112" t="inlineStr">
        <is>
          <t>AHC-X46</t>
        </is>
      </c>
      <c r="C4" s="123" t="n">
        <v>0</v>
      </c>
      <c r="D4" s="123" t="n"/>
      <c r="E4" s="123" t="n">
        <v>0</v>
      </c>
      <c r="F4" s="123" t="n">
        <v>0</v>
      </c>
      <c r="G4" s="123" t="n">
        <v>0</v>
      </c>
      <c r="H4" s="123" t="n"/>
      <c r="I4" s="124">
        <f>SUM(C4:H4)</f>
        <v/>
      </c>
      <c r="J4" s="101" t="n"/>
      <c r="K4" s="35" t="n"/>
      <c r="L4" s="35" t="inlineStr">
        <is>
          <t>6770L</t>
        </is>
      </c>
      <c r="N4" s="112" t="inlineStr">
        <is>
          <t>AHC-X46</t>
        </is>
      </c>
      <c r="P4" s="35" t="n"/>
    </row>
    <row r="5">
      <c r="A5" s="123" t="n">
        <v>8817000399</v>
      </c>
      <c r="B5" s="112" t="inlineStr">
        <is>
          <t>HEP2150</t>
        </is>
      </c>
      <c r="C5" s="123" t="n">
        <v>0</v>
      </c>
      <c r="D5" s="123" t="n"/>
      <c r="E5" s="123" t="n">
        <v>0</v>
      </c>
      <c r="F5" s="123" t="n">
        <v>0</v>
      </c>
      <c r="G5" s="123" t="n">
        <v>0</v>
      </c>
      <c r="H5" s="123" t="n"/>
      <c r="I5" s="123">
        <f>SUM(C5:G5)</f>
        <v/>
      </c>
      <c r="J5" s="100" t="n"/>
      <c r="K5" s="35" t="n"/>
      <c r="L5" s="35" t="n"/>
      <c r="M5" s="35" t="n"/>
      <c r="P5" s="35" t="n"/>
    </row>
    <row r="6">
      <c r="A6" s="123" t="n">
        <v>8817000551</v>
      </c>
      <c r="B6" s="112" t="inlineStr">
        <is>
          <t>HSA-X20</t>
        </is>
      </c>
      <c r="C6" s="123" t="n">
        <v>0</v>
      </c>
      <c r="D6" s="123" t="n"/>
      <c r="E6" s="123" t="n">
        <v>0</v>
      </c>
      <c r="F6" s="123" t="n">
        <v>0</v>
      </c>
      <c r="G6" s="123" t="n">
        <v>0</v>
      </c>
      <c r="H6" s="123" t="n"/>
      <c r="I6" s="124">
        <f>SUM(C6:G6)</f>
        <v/>
      </c>
      <c r="J6" s="102" t="n"/>
      <c r="K6" s="35" t="n"/>
      <c r="L6" s="35" t="inlineStr">
        <is>
          <t>3810L</t>
        </is>
      </c>
      <c r="M6" s="86" t="n">
        <v>1</v>
      </c>
      <c r="N6" s="112" t="inlineStr">
        <is>
          <t>HSA-X20</t>
        </is>
      </c>
      <c r="O6" s="89" t="inlineStr">
        <is>
          <t>12/10 庫存已扣</t>
        </is>
      </c>
      <c r="P6" s="35" t="n">
        <v>2</v>
      </c>
    </row>
    <row r="7">
      <c r="A7" s="123" t="n">
        <v>8817000552</v>
      </c>
      <c r="B7" s="112" t="inlineStr">
        <is>
          <t>HSA-X20EAY</t>
        </is>
      </c>
      <c r="C7" s="123" t="n">
        <v>0</v>
      </c>
      <c r="D7" s="123" t="n"/>
      <c r="E7" s="123" t="n">
        <v>0</v>
      </c>
      <c r="F7" s="123" t="n">
        <v>0</v>
      </c>
      <c r="G7" s="123" t="n">
        <v>0</v>
      </c>
      <c r="H7" s="123" t="n"/>
      <c r="I7" s="124">
        <f>SUM(C7:G7)</f>
        <v/>
      </c>
      <c r="J7" s="102" t="n"/>
      <c r="K7" s="35" t="n"/>
      <c r="L7" s="35" t="inlineStr">
        <is>
          <t>4150L</t>
        </is>
      </c>
      <c r="M7" s="35" t="n"/>
      <c r="N7" s="112" t="inlineStr">
        <is>
          <t>HSA-X20EAY</t>
        </is>
      </c>
      <c r="O7" s="89" t="n"/>
      <c r="P7" s="35" t="n">
        <v>2</v>
      </c>
    </row>
    <row r="8">
      <c r="A8" s="123" t="n">
        <v>8817000491</v>
      </c>
      <c r="B8" s="112" t="inlineStr">
        <is>
          <t>HSA-X23</t>
        </is>
      </c>
      <c r="C8" s="123" t="n">
        <v>0</v>
      </c>
      <c r="D8" s="123" t="n"/>
      <c r="E8" s="123" t="n">
        <v>0</v>
      </c>
      <c r="F8" s="123" t="n">
        <v>0</v>
      </c>
      <c r="G8" s="123" t="n">
        <v>4</v>
      </c>
      <c r="H8" s="123" t="n"/>
      <c r="I8" s="124">
        <f>SUM(C8:G8)</f>
        <v/>
      </c>
      <c r="J8" s="102" t="n"/>
      <c r="K8" s="81" t="n"/>
      <c r="L8" s="81" t="inlineStr">
        <is>
          <t>3960L</t>
        </is>
      </c>
      <c r="M8" s="33" t="n">
        <v>3</v>
      </c>
      <c r="N8" s="112" t="inlineStr">
        <is>
          <t>HSA-X23</t>
        </is>
      </c>
      <c r="O8" s="89" t="inlineStr">
        <is>
          <t>M6:16HR，M5:22HR</t>
        </is>
      </c>
      <c r="P8" s="100" t="n"/>
    </row>
    <row r="9">
      <c r="A9" s="123" t="n">
        <v>8817000517</v>
      </c>
      <c r="B9" s="90" t="inlineStr">
        <is>
          <t>HSA-X23EAY</t>
        </is>
      </c>
      <c r="C9" s="123" t="n">
        <v>1</v>
      </c>
      <c r="D9" s="123" t="n"/>
      <c r="E9" s="123" t="n">
        <v>0</v>
      </c>
      <c r="F9" s="123" t="n">
        <v>0</v>
      </c>
      <c r="G9" s="123" t="n">
        <v>1</v>
      </c>
      <c r="H9" s="123" t="n">
        <v>0</v>
      </c>
      <c r="I9" s="124">
        <f>SUM(C9:H9)</f>
        <v/>
      </c>
      <c r="J9" s="102" t="n"/>
      <c r="K9" s="35" t="n"/>
      <c r="L9" s="40" t="inlineStr">
        <is>
          <t>4650L</t>
        </is>
      </c>
      <c r="M9" s="33" t="n">
        <v>3</v>
      </c>
      <c r="N9" s="90" t="inlineStr">
        <is>
          <t>HSA-X23EAY</t>
        </is>
      </c>
      <c r="O9" s="89" t="inlineStr">
        <is>
          <t>M6:18HR，M5:37HR</t>
        </is>
      </c>
    </row>
    <row r="10">
      <c r="A10" s="123" t="n">
        <v>8817000483</v>
      </c>
      <c r="B10" s="112" t="inlineStr">
        <is>
          <t>HSA-X27</t>
        </is>
      </c>
      <c r="C10" s="123" t="n">
        <v>0</v>
      </c>
      <c r="D10" s="123" t="n"/>
      <c r="E10" s="123" t="n">
        <v>0</v>
      </c>
      <c r="F10" s="123" t="n">
        <v>0</v>
      </c>
      <c r="G10" s="123" t="n">
        <v>6</v>
      </c>
      <c r="H10" s="123" t="n"/>
      <c r="I10" s="124">
        <f>SUM(C10:G10)</f>
        <v/>
      </c>
      <c r="J10" s="102" t="n">
        <v>0</v>
      </c>
      <c r="K10" s="35" t="n">
        <v>0</v>
      </c>
      <c r="L10" s="35" t="inlineStr">
        <is>
          <t>台典成品*1,4600L</t>
        </is>
      </c>
      <c r="M10" s="81" t="n">
        <v>6</v>
      </c>
      <c r="N10" s="112" t="inlineStr">
        <is>
          <t>HSA-X27</t>
        </is>
      </c>
      <c r="O10" s="89" t="n"/>
      <c r="P10" s="35" t="n"/>
    </row>
    <row r="11">
      <c r="A11" s="123" t="n">
        <v>8817000518</v>
      </c>
      <c r="B11" s="126" t="inlineStr">
        <is>
          <t>HSA-X27EAY</t>
        </is>
      </c>
      <c r="C11" s="125" t="n">
        <v>1</v>
      </c>
      <c r="D11" s="125" t="n"/>
      <c r="E11" s="125" t="n">
        <v>0</v>
      </c>
      <c r="F11" s="125" t="n">
        <v>1</v>
      </c>
      <c r="G11" s="125" t="n">
        <v>0</v>
      </c>
      <c r="H11" s="123" t="n"/>
      <c r="I11" s="124">
        <f>SUM(C11:G11)</f>
        <v/>
      </c>
      <c r="J11" s="103" t="n"/>
      <c r="K11" s="80" t="n">
        <v>0</v>
      </c>
      <c r="L11" s="26" t="inlineStr">
        <is>
          <t>5150-5130</t>
        </is>
      </c>
      <c r="M11" s="79" t="n">
        <v>2</v>
      </c>
      <c r="N11" s="90" t="inlineStr">
        <is>
          <t>HSA-X27EAY</t>
        </is>
      </c>
      <c r="O11" s="38" t="inlineStr">
        <is>
          <t>M6-1*3 OK</t>
        </is>
      </c>
      <c r="P11" s="35" t="n"/>
    </row>
    <row r="12">
      <c r="A12" s="123" t="n">
        <v>8817000547</v>
      </c>
      <c r="B12" s="112" t="inlineStr">
        <is>
          <t>HSA-X32</t>
        </is>
      </c>
      <c r="C12" s="123" t="n">
        <v>0</v>
      </c>
      <c r="D12" s="123" t="n"/>
      <c r="E12" s="123" t="n">
        <v>0</v>
      </c>
      <c r="F12" s="123" t="n">
        <v>0</v>
      </c>
      <c r="G12" s="123" t="n">
        <v>2</v>
      </c>
      <c r="H12" s="123" t="n"/>
      <c r="I12" s="124">
        <f>SUM(C12:G12)</f>
        <v/>
      </c>
      <c r="J12" s="102" t="n"/>
      <c r="K12" s="35" t="n"/>
      <c r="L12" s="35" t="inlineStr">
        <is>
          <t>5050L</t>
        </is>
      </c>
      <c r="M12" s="86" t="n">
        <v>2</v>
      </c>
      <c r="N12" s="112" t="inlineStr">
        <is>
          <t>HSA-X32</t>
        </is>
      </c>
      <c r="O12" s="89" t="n"/>
      <c r="P12" s="35" t="n"/>
    </row>
    <row r="13">
      <c r="A13" s="123" t="n">
        <v>8817000548</v>
      </c>
      <c r="B13" s="112" t="inlineStr">
        <is>
          <t>HSA-X32EAY</t>
        </is>
      </c>
      <c r="C13" s="123" t="n">
        <v>0</v>
      </c>
      <c r="D13" s="123" t="n"/>
      <c r="E13" s="123" t="n">
        <v>0</v>
      </c>
      <c r="F13" s="123" t="n">
        <v>0</v>
      </c>
      <c r="G13" s="123" t="n">
        <v>0</v>
      </c>
      <c r="H13" s="123" t="n"/>
      <c r="I13" s="124">
        <f>SUM(C13:G13)</f>
        <v/>
      </c>
      <c r="J13" s="102" t="n"/>
      <c r="K13" s="35" t="n"/>
      <c r="L13" s="35" t="inlineStr">
        <is>
          <t>5600L</t>
        </is>
      </c>
      <c r="M13" s="35" t="n">
        <v>1</v>
      </c>
      <c r="N13" s="112" t="inlineStr">
        <is>
          <t>HSA-X32EAY</t>
        </is>
      </c>
      <c r="O13" s="89" t="n"/>
      <c r="P13" s="35" t="n"/>
    </row>
    <row r="14">
      <c r="A14" s="123" t="n">
        <v>8817000568</v>
      </c>
      <c r="B14" s="90" t="inlineStr">
        <is>
          <t>HSA-X36EAY</t>
        </is>
      </c>
      <c r="C14" s="123" t="n">
        <v>0</v>
      </c>
      <c r="D14" s="123" t="n"/>
      <c r="E14" s="123" t="n">
        <v>0</v>
      </c>
      <c r="F14" s="123" t="n">
        <v>0</v>
      </c>
      <c r="G14" s="123" t="n">
        <v>0</v>
      </c>
      <c r="H14" s="46" t="n"/>
      <c r="I14" s="124">
        <f>SUM(C14:G14)</f>
        <v/>
      </c>
      <c r="J14" s="102" t="n"/>
      <c r="K14" s="35" t="n"/>
      <c r="L14" s="35" t="inlineStr">
        <is>
          <t>5950L</t>
        </is>
      </c>
      <c r="M14" s="35" t="n"/>
      <c r="N14" s="90" t="inlineStr">
        <is>
          <t>HSA-X36EAY</t>
        </is>
      </c>
      <c r="O14" s="89" t="inlineStr">
        <is>
          <t>隆升借放*4-有入帳</t>
        </is>
      </c>
      <c r="P14" s="35" t="n">
        <v>1</v>
      </c>
    </row>
    <row r="15">
      <c r="A15" s="123" t="n">
        <v>8817000485</v>
      </c>
      <c r="B15" s="90" t="inlineStr">
        <is>
          <t>HSA-X36</t>
        </is>
      </c>
      <c r="C15" s="123" t="n">
        <v>0</v>
      </c>
      <c r="D15" s="123" t="n"/>
      <c r="E15" s="123" t="n">
        <v>0</v>
      </c>
      <c r="F15" s="123" t="n">
        <v>0</v>
      </c>
      <c r="G15" s="123" t="n">
        <v>5</v>
      </c>
      <c r="H15" s="123" t="n"/>
      <c r="I15" s="124">
        <f>SUM(C15:G15)</f>
        <v/>
      </c>
      <c r="J15" s="102" t="n"/>
      <c r="K15" s="35" t="inlineStr">
        <is>
          <t>`</t>
        </is>
      </c>
      <c r="L15" s="35" t="inlineStr">
        <is>
          <t>5600L</t>
        </is>
      </c>
      <c r="M15" s="35" t="n">
        <v>5</v>
      </c>
      <c r="N15" s="90" t="inlineStr">
        <is>
          <t>HSA-X36</t>
        </is>
      </c>
      <c r="O15" s="89" t="n"/>
      <c r="P15" s="35" t="n"/>
    </row>
    <row r="16">
      <c r="A16" s="123" t="n">
        <v>8817000635</v>
      </c>
      <c r="B16" s="90" t="inlineStr">
        <is>
          <t>TGV-106</t>
        </is>
      </c>
      <c r="C16" s="123" t="n">
        <v>0</v>
      </c>
      <c r="D16" s="123" t="n"/>
      <c r="E16" s="123" t="n">
        <v>0</v>
      </c>
      <c r="F16" s="123" t="n">
        <v>0</v>
      </c>
      <c r="G16" s="123" t="n">
        <v>0</v>
      </c>
      <c r="H16" s="123" t="n"/>
      <c r="I16" s="123">
        <f>SUM(C16:G16)</f>
        <v/>
      </c>
      <c r="J16" s="100" t="n"/>
      <c r="K16" s="89" t="n"/>
      <c r="L16" s="89" t="n"/>
      <c r="M16" s="89" t="n"/>
      <c r="N16" s="89" t="n"/>
      <c r="O16" s="89" t="n"/>
      <c r="P16" s="89" t="n"/>
    </row>
    <row r="17">
      <c r="A17" s="123" t="n">
        <v>8817000441</v>
      </c>
      <c r="B17" s="90" t="inlineStr">
        <is>
          <t>HSA-X23_NEO</t>
        </is>
      </c>
      <c r="C17" s="123" t="n">
        <v>0</v>
      </c>
      <c r="D17" s="123" t="n">
        <v>0</v>
      </c>
      <c r="E17" s="123" t="n">
        <v>0</v>
      </c>
      <c r="F17" s="123" t="n">
        <v>0</v>
      </c>
      <c r="G17" s="123" t="n">
        <v>0</v>
      </c>
      <c r="H17" s="123" t="n"/>
      <c r="I17" s="123">
        <f>SUM(C17:G17)</f>
        <v/>
      </c>
      <c r="J17" s="100" t="n"/>
      <c r="K17" s="89" t="n"/>
      <c r="L17" s="89" t="n"/>
      <c r="M17" s="89" t="n"/>
      <c r="N17" s="89" t="n"/>
      <c r="O17" s="89" t="n"/>
      <c r="P17" s="89" t="n"/>
    </row>
    <row r="18">
      <c r="A18" s="123" t="n">
        <v>8817000650</v>
      </c>
      <c r="B18" s="90" t="inlineStr">
        <is>
          <t>HSA-X20_NEO</t>
        </is>
      </c>
      <c r="C18" s="123" t="n">
        <v>0</v>
      </c>
      <c r="D18" s="123" t="n">
        <v>0</v>
      </c>
      <c r="E18" s="123" t="n">
        <v>0</v>
      </c>
      <c r="F18" s="123" t="n">
        <v>0</v>
      </c>
      <c r="G18" s="123" t="n">
        <v>0</v>
      </c>
      <c r="H18" s="90" t="n"/>
      <c r="I18" s="123">
        <f>SUM(C18:G18)</f>
        <v/>
      </c>
      <c r="J18" s="100" t="n"/>
      <c r="K18" s="89" t="n"/>
      <c r="L18" s="89" t="n"/>
      <c r="M18" s="89" t="n"/>
      <c r="N18" s="89" t="n"/>
      <c r="O18" s="89" t="n"/>
      <c r="P18" s="89" t="n"/>
    </row>
    <row r="19">
      <c r="A19" s="123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89" t="n"/>
    </row>
    <row r="20">
      <c r="A20" s="123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89" t="n"/>
    </row>
    <row r="21">
      <c r="A21" s="123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89" t="n"/>
    </row>
    <row r="22">
      <c r="A22" s="123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89" t="n"/>
    </row>
    <row r="23">
      <c r="A23" s="123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89" t="n"/>
    </row>
    <row r="24">
      <c r="A24" s="127" t="n"/>
      <c r="B24" s="127" t="n"/>
      <c r="C24" s="127" t="n"/>
      <c r="D24" s="127" t="n"/>
      <c r="E24" s="127" t="n"/>
      <c r="F24" s="127" t="n"/>
      <c r="G24" s="127" t="n"/>
      <c r="H24" s="127" t="n"/>
      <c r="I24" s="127" t="n"/>
      <c r="J24" s="89" t="n"/>
    </row>
    <row r="25">
      <c r="A25" s="89" t="n"/>
      <c r="B25" s="89" t="n"/>
      <c r="C25" s="89" t="n"/>
      <c r="D25" s="89" t="n"/>
      <c r="E25" s="89" t="n"/>
      <c r="F25" s="89" t="n"/>
      <c r="G25" s="89" t="n"/>
      <c r="H25" s="89" t="n"/>
      <c r="I25" s="89" t="n"/>
      <c r="J25" s="89" t="n"/>
    </row>
    <row r="26">
      <c r="A26" s="89" t="n"/>
      <c r="B26" s="89" t="n"/>
      <c r="C26" s="89" t="n"/>
      <c r="D26" s="89" t="n"/>
      <c r="E26" s="89" t="n"/>
      <c r="F26" s="89" t="n"/>
      <c r="G26" s="89" t="n"/>
      <c r="H26" s="89" t="n"/>
      <c r="I26" s="89" t="n"/>
      <c r="J26" s="89" t="n"/>
    </row>
  </sheetData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7"/>
  <sheetViews>
    <sheetView showRuler="0" zoomScale="145" zoomScaleNormal="145" workbookViewId="0">
      <selection activeCell="A2" sqref="A2:XFD11"/>
    </sheetView>
  </sheetViews>
  <sheetFormatPr baseColWidth="8" defaultRowHeight="16.5"/>
  <cols>
    <col width="18.75" customWidth="1" style="35" min="1" max="1"/>
    <col width="19.75" customWidth="1" style="130" min="2" max="2"/>
    <col width="9.375" customWidth="1" style="130" min="5" max="5"/>
    <col width="9.75" customWidth="1" style="130" min="6" max="6"/>
    <col width="10.25" bestFit="1" customWidth="1" style="130" min="7" max="7"/>
  </cols>
  <sheetData>
    <row r="1">
      <c r="A1" s="90" t="inlineStr">
        <is>
          <t>品號</t>
        </is>
      </c>
      <c r="B1" s="123" t="inlineStr">
        <is>
          <t>機型</t>
        </is>
      </c>
      <c r="C1" s="123" t="inlineStr">
        <is>
          <t>素材</t>
        </is>
      </c>
      <c r="D1" s="123" t="inlineStr">
        <is>
          <t>半成品</t>
        </is>
      </c>
      <c r="E1" s="123" t="inlineStr">
        <is>
          <t>成品(銑)</t>
        </is>
      </c>
      <c r="F1" s="123" t="inlineStr">
        <is>
          <t>成品(研)</t>
        </is>
      </c>
      <c r="G1" s="123" t="inlineStr">
        <is>
          <t>總數</t>
        </is>
      </c>
      <c r="H1" s="123" t="inlineStr">
        <is>
          <t>報廢</t>
        </is>
      </c>
    </row>
    <row r="2">
      <c r="A2" s="125" t="n">
        <v>8811001091</v>
      </c>
      <c r="B2" s="113" t="inlineStr">
        <is>
          <t>LG-800</t>
        </is>
      </c>
      <c r="C2" s="90" t="n">
        <v>8</v>
      </c>
      <c r="D2" s="90" t="n">
        <v>0</v>
      </c>
      <c r="E2" s="90" t="n">
        <v>0</v>
      </c>
      <c r="F2" s="123" t="n">
        <v>1</v>
      </c>
      <c r="G2" s="90">
        <f>C2+D2+E2+F2</f>
        <v/>
      </c>
      <c r="H2" s="90" t="n"/>
    </row>
    <row r="3">
      <c r="A3" s="125" t="n">
        <v>8811001273</v>
      </c>
      <c r="B3" s="113" t="inlineStr">
        <is>
          <t>LG-1370</t>
        </is>
      </c>
      <c r="C3" s="90" t="n">
        <v>0</v>
      </c>
      <c r="D3" s="90" t="n">
        <v>0</v>
      </c>
      <c r="E3" s="90" t="n">
        <v>0</v>
      </c>
      <c r="F3" s="123" t="n">
        <v>0</v>
      </c>
      <c r="G3" s="90">
        <f>C3+D3+E3+F3</f>
        <v/>
      </c>
      <c r="H3" s="91" t="n"/>
    </row>
    <row r="4">
      <c r="A4" s="125" t="n">
        <v>8811001013</v>
      </c>
      <c r="B4" s="114" t="inlineStr">
        <is>
          <t>MVP-860</t>
        </is>
      </c>
      <c r="C4" s="90" t="n"/>
      <c r="D4" s="90" t="n"/>
      <c r="E4" s="90" t="n"/>
      <c r="F4" s="123" t="n">
        <v>0</v>
      </c>
      <c r="G4" s="90">
        <f>C4+D4+E4+F4</f>
        <v/>
      </c>
      <c r="H4" s="90" t="n"/>
    </row>
    <row r="5">
      <c r="A5" s="125" t="n">
        <v>8811001393</v>
      </c>
      <c r="B5" s="113" t="inlineStr">
        <is>
          <t>MVP-11</t>
        </is>
      </c>
      <c r="C5" s="90" t="n">
        <v>2</v>
      </c>
      <c r="D5" s="90" t="n">
        <v>3</v>
      </c>
      <c r="E5" s="90" t="n">
        <v>0</v>
      </c>
      <c r="F5" s="123" t="n">
        <v>0</v>
      </c>
      <c r="G5" s="90">
        <f>C5+D5+E5+F5</f>
        <v/>
      </c>
      <c r="H5" s="90" t="n"/>
    </row>
    <row r="6">
      <c r="A6" s="125" t="n">
        <v>8811001536</v>
      </c>
      <c r="B6" s="115" t="inlineStr">
        <is>
          <t>A10</t>
        </is>
      </c>
      <c r="C6" s="90" t="n">
        <v>0</v>
      </c>
      <c r="D6" s="90" t="n">
        <v>0</v>
      </c>
      <c r="E6" s="90" t="n">
        <v>0</v>
      </c>
      <c r="F6" s="123" t="n">
        <v>0</v>
      </c>
      <c r="G6" s="90">
        <f>C6+D6+E6+F6</f>
        <v/>
      </c>
      <c r="H6" s="90" t="n"/>
    </row>
    <row r="7">
      <c r="A7" s="125" t="n">
        <v>8811001338</v>
      </c>
      <c r="B7" s="115" t="inlineStr">
        <is>
          <t>S-PLUS</t>
        </is>
      </c>
      <c r="C7" s="90" t="n">
        <v>0</v>
      </c>
      <c r="D7" s="90" t="n">
        <v>0</v>
      </c>
      <c r="E7" s="90" t="n"/>
      <c r="F7" s="123" t="n">
        <v>0</v>
      </c>
      <c r="G7" s="90">
        <f>C7+D7+E7+F7</f>
        <v/>
      </c>
      <c r="H7" s="90" t="n"/>
    </row>
    <row r="8">
      <c r="A8" s="125" t="n">
        <v>8811001526</v>
      </c>
      <c r="B8" s="115" t="inlineStr">
        <is>
          <t>S8</t>
        </is>
      </c>
      <c r="C8" s="90" t="n">
        <v>0</v>
      </c>
      <c r="D8" s="90" t="n">
        <v>0</v>
      </c>
      <c r="E8" s="90" t="n">
        <v>0</v>
      </c>
      <c r="F8" s="123" t="n">
        <v>1</v>
      </c>
      <c r="G8" s="90">
        <f>C8+D8+E8+F8</f>
        <v/>
      </c>
      <c r="H8" s="90" t="n"/>
    </row>
    <row r="9">
      <c r="A9" s="125" t="n">
        <v>8811001616</v>
      </c>
      <c r="B9" s="113" t="inlineStr">
        <is>
          <t>LG-1370_NEO</t>
        </is>
      </c>
      <c r="C9" s="98" t="n">
        <v>0</v>
      </c>
      <c r="D9" s="90" t="n">
        <v>0</v>
      </c>
      <c r="E9" s="90" t="n">
        <v>0</v>
      </c>
      <c r="F9" s="123" t="n">
        <v>3</v>
      </c>
      <c r="G9" s="90">
        <f>C9+D9+E9+F9</f>
        <v/>
      </c>
      <c r="H9" s="92" t="n">
        <v>0</v>
      </c>
      <c r="K9" s="89" t="inlineStr">
        <is>
          <t>M1:14.5HR</t>
        </is>
      </c>
      <c r="L9" s="89" t="inlineStr">
        <is>
          <t>M2:7.5HR</t>
        </is>
      </c>
      <c r="M9" s="89" t="inlineStr">
        <is>
          <t>M7:2.HR</t>
        </is>
      </c>
    </row>
    <row r="10">
      <c r="A10" s="89" t="n"/>
    </row>
    <row r="11">
      <c r="A11" s="89" t="n"/>
    </row>
    <row r="12">
      <c r="A12" s="89" t="n"/>
    </row>
    <row r="13">
      <c r="A13" s="89" t="n"/>
    </row>
    <row r="17">
      <c r="H17" s="89" t="n"/>
    </row>
  </sheetData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showRuler="0" workbookViewId="0">
      <selection activeCell="D4" sqref="D4"/>
    </sheetView>
  </sheetViews>
  <sheetFormatPr baseColWidth="8" defaultRowHeight="16.5"/>
  <cols>
    <col width="13" customWidth="1" style="130" min="2" max="2"/>
    <col width="22" customWidth="1" style="130" min="3" max="4"/>
  </cols>
  <sheetData>
    <row r="1">
      <c r="A1" s="90" t="inlineStr">
        <is>
          <t>項次</t>
        </is>
      </c>
      <c r="B1" s="90" t="inlineStr">
        <is>
          <t>機型</t>
        </is>
      </c>
      <c r="C1" s="90" t="inlineStr">
        <is>
          <t>素材</t>
        </is>
      </c>
      <c r="D1" s="21" t="inlineStr">
        <is>
          <t>半成品</t>
        </is>
      </c>
      <c r="E1" s="21" t="inlineStr">
        <is>
          <t>成品</t>
        </is>
      </c>
      <c r="F1" s="90" t="inlineStr">
        <is>
          <t>總數</t>
        </is>
      </c>
    </row>
    <row r="2">
      <c r="A2" s="89" t="n">
        <v>1</v>
      </c>
      <c r="B2" s="112" t="inlineStr">
        <is>
          <t>PRO-1000</t>
        </is>
      </c>
      <c r="D2" s="89" t="n">
        <v>0</v>
      </c>
      <c r="E2" s="89" t="n">
        <v>0</v>
      </c>
      <c r="F2" s="27">
        <f>C2+D2+E2</f>
        <v/>
      </c>
    </row>
    <row r="3">
      <c r="A3" s="89" t="n">
        <v>2</v>
      </c>
      <c r="B3" s="112" t="inlineStr">
        <is>
          <t>HCMC-1270</t>
        </is>
      </c>
      <c r="C3" s="89" t="n"/>
      <c r="D3" s="89" t="n">
        <v>0</v>
      </c>
      <c r="E3" s="89" t="n">
        <v>0</v>
      </c>
      <c r="F3" s="27">
        <f>C3+D3+E3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showRuler="0" workbookViewId="0">
      <selection activeCell="D5" sqref="D5"/>
    </sheetView>
  </sheetViews>
  <sheetFormatPr baseColWidth="8" defaultRowHeight="16.5"/>
  <cols>
    <col width="14.75" customWidth="1" style="130" min="2" max="2"/>
  </cols>
  <sheetData>
    <row r="1">
      <c r="A1" s="90" t="inlineStr">
        <is>
          <t>項次</t>
        </is>
      </c>
      <c r="B1" s="90" t="inlineStr">
        <is>
          <t>機型</t>
        </is>
      </c>
      <c r="C1" s="90" t="inlineStr">
        <is>
          <t>素材</t>
        </is>
      </c>
      <c r="D1" s="90" t="inlineStr">
        <is>
          <t>成品</t>
        </is>
      </c>
      <c r="E1" s="90" t="inlineStr">
        <is>
          <t>總數</t>
        </is>
      </c>
    </row>
    <row r="2">
      <c r="A2" s="90" t="n">
        <v>1</v>
      </c>
      <c r="B2" s="112" t="inlineStr">
        <is>
          <t>DW</t>
        </is>
      </c>
      <c r="C2" s="90" t="n"/>
      <c r="D2" s="90" t="n"/>
      <c r="E2" s="90" t="n">
        <v>0</v>
      </c>
    </row>
    <row r="3">
      <c r="A3" s="90" t="n"/>
      <c r="B3" s="112" t="n"/>
      <c r="C3" s="90" t="n"/>
      <c r="D3" s="90" t="n"/>
      <c r="E3" s="9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"/>
  <sheetViews>
    <sheetView showRuler="0" workbookViewId="0">
      <selection activeCell="E13" sqref="E13:E14"/>
    </sheetView>
  </sheetViews>
  <sheetFormatPr baseColWidth="8" defaultRowHeight="16.5"/>
  <cols>
    <col width="14.75" customWidth="1" style="130" min="2" max="2"/>
  </cols>
  <sheetData>
    <row r="1">
      <c r="A1" s="90" t="inlineStr">
        <is>
          <t>項次</t>
        </is>
      </c>
      <c r="B1" s="90" t="inlineStr">
        <is>
          <t>機型</t>
        </is>
      </c>
      <c r="C1" s="90" t="inlineStr">
        <is>
          <t>素材</t>
        </is>
      </c>
      <c r="D1" s="21" t="inlineStr">
        <is>
          <t>成品</t>
        </is>
      </c>
      <c r="E1" s="90" t="inlineStr">
        <is>
          <t>總數</t>
        </is>
      </c>
    </row>
    <row r="2">
      <c r="A2" s="89" t="n">
        <v>1</v>
      </c>
      <c r="B2" s="87" t="inlineStr">
        <is>
          <t>VW-X340</t>
        </is>
      </c>
      <c r="C2" s="89" t="n">
        <v>1</v>
      </c>
      <c r="E2" s="27" t="n">
        <v>1</v>
      </c>
    </row>
    <row r="3">
      <c r="B3" s="11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showRuler="0" workbookViewId="0">
      <selection activeCell="B7" sqref="B7"/>
    </sheetView>
  </sheetViews>
  <sheetFormatPr baseColWidth="8" defaultRowHeight="16.5"/>
  <cols>
    <col width="17.125" customWidth="1" style="130" min="1" max="1"/>
    <col width="45.375" customWidth="1" style="130" min="3" max="3"/>
    <col width="13.375" customWidth="1" style="130" min="4" max="4"/>
  </cols>
  <sheetData>
    <row r="1" ht="32.1" customHeight="1" s="130" thickBot="1" thickTop="1">
      <c r="A1" s="51" t="inlineStr">
        <is>
          <t>機型</t>
        </is>
      </c>
      <c r="B1" s="52" t="inlineStr">
        <is>
          <t>數量</t>
        </is>
      </c>
      <c r="C1" s="53" t="inlineStr">
        <is>
          <t>報廢原因</t>
        </is>
      </c>
      <c r="D1" s="61" t="inlineStr">
        <is>
          <t xml:space="preserve">廠商 </t>
        </is>
      </c>
    </row>
    <row r="2" ht="25.15" customHeight="1" s="130" thickBot="1">
      <c r="A2" s="54" t="inlineStr">
        <is>
          <t>HEP-2150工作台</t>
        </is>
      </c>
      <c r="B2" s="55" t="n">
        <v>0</v>
      </c>
      <c r="C2" s="60" t="inlineStr">
        <is>
          <t>加工溝寬錯誤*1(W2)(加工問題)</t>
        </is>
      </c>
      <c r="D2" s="64" t="inlineStr">
        <is>
          <t>楊鋼</t>
        </is>
      </c>
    </row>
    <row r="3" ht="25.15" customHeight="1" s="130" thickBot="1">
      <c r="A3" s="54" t="inlineStr">
        <is>
          <t>HSA-420工作台</t>
        </is>
      </c>
      <c r="B3" s="55" t="n">
        <v>0</v>
      </c>
      <c r="C3" s="60" t="inlineStr">
        <is>
          <t>NG*1(W5螺姆座Y軸錯誤)(成品)(加工問題)</t>
        </is>
      </c>
      <c r="D3" s="64" t="inlineStr">
        <is>
          <t>永棧</t>
        </is>
      </c>
    </row>
    <row r="4" ht="25.15" customHeight="1" s="130" thickBot="1">
      <c r="A4" s="54" t="inlineStr">
        <is>
          <t>SW-426工作台</t>
        </is>
      </c>
      <c r="B4" s="55" t="n">
        <v>0</v>
      </c>
      <c r="C4" s="60" t="inlineStr">
        <is>
          <t>NG*1-W2(加工問題)</t>
        </is>
      </c>
      <c r="D4" s="64" t="inlineStr">
        <is>
          <t>永棧</t>
        </is>
      </c>
    </row>
    <row r="5" ht="25.15" customHeight="1" s="130" thickBot="1">
      <c r="A5" s="54" t="inlineStr">
        <is>
          <t>HB-3190工作台</t>
        </is>
      </c>
      <c r="B5" s="55" t="n">
        <v>0</v>
      </c>
      <c r="C5" s="60" t="inlineStr">
        <is>
          <t>舊鑄件</t>
        </is>
      </c>
      <c r="D5" s="64" t="inlineStr">
        <is>
          <t>永棧</t>
        </is>
      </c>
    </row>
    <row r="6" ht="25.15" customHeight="1" s="130" thickBot="1">
      <c r="A6" s="54" t="inlineStr">
        <is>
          <t>HEP-2150橫樑</t>
        </is>
      </c>
      <c r="B6" s="55" t="n">
        <v>0</v>
      </c>
      <c r="C6" s="60" t="inlineStr">
        <is>
          <t>NG*1(加工問題)</t>
        </is>
      </c>
      <c r="D6" s="64" t="inlineStr">
        <is>
          <t>永棧</t>
        </is>
      </c>
    </row>
    <row r="7" ht="25.15" customHeight="1" s="130" thickBot="1">
      <c r="A7" s="54" t="n"/>
      <c r="B7" s="55" t="n"/>
      <c r="C7" s="56" t="n"/>
      <c r="D7" s="62" t="n"/>
    </row>
    <row r="8" ht="25.15" customHeight="1" s="130" thickBot="1">
      <c r="A8" s="54" t="n"/>
      <c r="B8" s="55" t="n"/>
      <c r="C8" s="56" t="n"/>
      <c r="D8" s="62" t="n"/>
    </row>
    <row r="9" ht="25.15" customHeight="1" s="130" thickBot="1">
      <c r="A9" s="54" t="n"/>
      <c r="B9" s="55" t="n"/>
      <c r="C9" s="56" t="n"/>
      <c r="D9" s="62" t="n"/>
    </row>
    <row r="10" ht="25.15" customHeight="1" s="130" thickBot="1">
      <c r="A10" s="54" t="n"/>
      <c r="B10" s="55" t="n"/>
      <c r="C10" s="56" t="n"/>
      <c r="D10" s="62" t="n"/>
    </row>
    <row r="11" ht="25.15" customHeight="1" s="130" thickBot="1">
      <c r="A11" s="54" t="n"/>
      <c r="B11" s="55" t="n"/>
      <c r="C11" s="56" t="n"/>
      <c r="D11" s="62" t="n"/>
    </row>
    <row r="12" ht="25.15" customHeight="1" s="130" thickBot="1">
      <c r="A12" s="54" t="n"/>
      <c r="B12" s="55" t="n"/>
      <c r="C12" s="56" t="n"/>
      <c r="D12" s="62" t="n"/>
    </row>
    <row r="13" ht="25.15" customHeight="1" s="130" thickBot="1">
      <c r="A13" s="54" t="n"/>
      <c r="B13" s="55" t="n"/>
      <c r="C13" s="56" t="n"/>
      <c r="D13" s="62" t="n"/>
    </row>
    <row r="14" ht="25.15" customHeight="1" s="130" thickBot="1">
      <c r="A14" s="54" t="n"/>
      <c r="B14" s="55" t="n"/>
      <c r="C14" s="56" t="n"/>
      <c r="D14" s="62" t="n"/>
    </row>
    <row r="15" ht="25.15" customHeight="1" s="130" thickBot="1">
      <c r="A15" s="54" t="n"/>
      <c r="B15" s="55" t="n"/>
      <c r="C15" s="56" t="n"/>
      <c r="D15" s="62" t="n"/>
    </row>
    <row r="16" ht="25.15" customHeight="1" s="130" thickBot="1">
      <c r="A16" s="54" t="n"/>
      <c r="B16" s="55" t="n"/>
      <c r="C16" s="56" t="n"/>
      <c r="D16" s="62" t="n"/>
    </row>
    <row r="17" ht="25.15" customHeight="1" s="130" thickBot="1">
      <c r="A17" s="54" t="n"/>
      <c r="B17" s="55" t="n"/>
      <c r="C17" s="56" t="n"/>
      <c r="D17" s="62" t="n"/>
    </row>
    <row r="18" ht="25.15" customHeight="1" s="130" thickBot="1">
      <c r="A18" s="54" t="n"/>
      <c r="B18" s="55" t="n"/>
      <c r="C18" s="56" t="n"/>
      <c r="D18" s="62" t="n"/>
    </row>
    <row r="19" ht="25.15" customHeight="1" s="130" thickBot="1">
      <c r="A19" s="54" t="n"/>
      <c r="B19" s="55" t="n"/>
      <c r="C19" s="56" t="n"/>
      <c r="D19" s="62" t="n"/>
    </row>
    <row r="20" ht="25.15" customHeight="1" s="130" thickBot="1">
      <c r="A20" s="54" t="n"/>
      <c r="B20" s="55" t="n"/>
      <c r="C20" s="56" t="n"/>
      <c r="D20" s="62" t="n"/>
    </row>
    <row r="21" ht="25.15" customHeight="1" s="130" thickBot="1">
      <c r="A21" s="54" t="n"/>
      <c r="B21" s="55" t="n"/>
      <c r="C21" s="56" t="n"/>
      <c r="D21" s="62" t="n"/>
    </row>
    <row r="22" ht="25.15" customHeight="1" s="130" thickBot="1">
      <c r="A22" s="57" t="n"/>
      <c r="B22" s="58" t="n"/>
      <c r="C22" s="59" t="n"/>
      <c r="D22" s="63" t="n"/>
    </row>
    <row r="23" ht="17.25" customHeight="1" s="130" thickTop="1"/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WinXP</dc:creator>
  <dcterms:created xsi:type="dcterms:W3CDTF">2010-07-23T09:41:49Z</dcterms:created>
  <dcterms:modified xsi:type="dcterms:W3CDTF">2026-01-28T14:44:54Z</dcterms:modified>
  <cp:lastModifiedBy>hsinwei(張新偉)</cp:lastModifiedBy>
  <cp:lastPrinted>2021-12-24T07:14:26Z</cp:lastPrinted>
</cp:coreProperties>
</file>